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"/>
    </mc:Choice>
  </mc:AlternateContent>
  <xr:revisionPtr revIDLastSave="0" documentId="8_{756405D5-2501-4F96-8A58-147D4C578D9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aw_orders" sheetId="1" r:id="rId1"/>
    <sheet name="Cleaned_Orders" sheetId="5" r:id="rId2"/>
    <sheet name="business_rules" sheetId="2" r:id="rId3"/>
  </sheets>
  <definedNames>
    <definedName name="_xlnm._FilterDatabase" localSheetId="1" hidden="1">Cleaned_Orders!$U$1:$U$913</definedName>
    <definedName name="_xlnm._FilterDatabase" localSheetId="0" hidden="1">raw_orders!$B$1:$B$933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2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B880" i="5"/>
  <c r="AB881" i="5"/>
  <c r="AB882" i="5"/>
  <c r="AB883" i="5"/>
  <c r="AB884" i="5"/>
  <c r="AB885" i="5"/>
  <c r="AB886" i="5"/>
  <c r="AB887" i="5"/>
  <c r="AB888" i="5"/>
  <c r="AB889" i="5"/>
  <c r="AB890" i="5"/>
  <c r="AB891" i="5"/>
  <c r="AB892" i="5"/>
  <c r="AB893" i="5"/>
  <c r="AB894" i="5"/>
  <c r="AB895" i="5"/>
  <c r="AB896" i="5"/>
  <c r="AB897" i="5"/>
  <c r="AB898" i="5"/>
  <c r="AB899" i="5"/>
  <c r="AB900" i="5"/>
  <c r="AB901" i="5"/>
  <c r="AB902" i="5"/>
  <c r="AB903" i="5"/>
  <c r="AB904" i="5"/>
  <c r="AB905" i="5"/>
  <c r="AB906" i="5"/>
  <c r="AB907" i="5"/>
  <c r="AB908" i="5"/>
  <c r="AB909" i="5"/>
  <c r="AB910" i="5"/>
  <c r="AB911" i="5"/>
  <c r="AB912" i="5"/>
  <c r="AB913" i="5"/>
  <c r="AB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AD26" i="5" s="1"/>
  <c r="X27" i="5"/>
  <c r="AD27" i="5" s="1"/>
  <c r="X28" i="5"/>
  <c r="X29" i="5"/>
  <c r="AD29" i="5" s="1"/>
  <c r="X30" i="5"/>
  <c r="AD30" i="5" s="1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AD49" i="5" s="1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AD64" i="5" s="1"/>
  <c r="X65" i="5"/>
  <c r="AD65" i="5" s="1"/>
  <c r="X66" i="5"/>
  <c r="X67" i="5"/>
  <c r="X68" i="5"/>
  <c r="X69" i="5"/>
  <c r="X70" i="5"/>
  <c r="X71" i="5"/>
  <c r="X72" i="5"/>
  <c r="X73" i="5"/>
  <c r="X74" i="5"/>
  <c r="AD74" i="5" s="1"/>
  <c r="X75" i="5"/>
  <c r="X76" i="5"/>
  <c r="X77" i="5"/>
  <c r="X78" i="5"/>
  <c r="X79" i="5"/>
  <c r="X80" i="5"/>
  <c r="X81" i="5"/>
  <c r="X82" i="5"/>
  <c r="X83" i="5"/>
  <c r="X84" i="5"/>
  <c r="AD84" i="5" s="1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AD124" i="5" s="1"/>
  <c r="X125" i="5"/>
  <c r="X126" i="5"/>
  <c r="X127" i="5"/>
  <c r="X128" i="5"/>
  <c r="X129" i="5"/>
  <c r="AD129" i="5" s="1"/>
  <c r="X130" i="5"/>
  <c r="X131" i="5"/>
  <c r="X132" i="5"/>
  <c r="X133" i="5"/>
  <c r="X134" i="5"/>
  <c r="X135" i="5"/>
  <c r="X136" i="5"/>
  <c r="X137" i="5"/>
  <c r="X138" i="5"/>
  <c r="AD138" i="5" s="1"/>
  <c r="X139" i="5"/>
  <c r="X140" i="5"/>
  <c r="X141" i="5"/>
  <c r="X142" i="5"/>
  <c r="X143" i="5"/>
  <c r="X144" i="5"/>
  <c r="AD144" i="5" s="1"/>
  <c r="X145" i="5"/>
  <c r="X146" i="5"/>
  <c r="AD146" i="5" s="1"/>
  <c r="X147" i="5"/>
  <c r="AD147" i="5" s="1"/>
  <c r="X148" i="5"/>
  <c r="X149" i="5"/>
  <c r="X150" i="5"/>
  <c r="X151" i="5"/>
  <c r="X152" i="5"/>
  <c r="AD152" i="5" s="1"/>
  <c r="X153" i="5"/>
  <c r="X154" i="5"/>
  <c r="X155" i="5"/>
  <c r="X156" i="5"/>
  <c r="AD156" i="5" s="1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AD176" i="5" s="1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AD210" i="5" s="1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AD223" i="5" s="1"/>
  <c r="X224" i="5"/>
  <c r="X225" i="5"/>
  <c r="X226" i="5"/>
  <c r="X227" i="5"/>
  <c r="X228" i="5"/>
  <c r="AD228" i="5" s="1"/>
  <c r="X229" i="5"/>
  <c r="X230" i="5"/>
  <c r="X231" i="5"/>
  <c r="X232" i="5"/>
  <c r="AD232" i="5" s="1"/>
  <c r="X233" i="5"/>
  <c r="X234" i="5"/>
  <c r="X235" i="5"/>
  <c r="X236" i="5"/>
  <c r="X237" i="5"/>
  <c r="X238" i="5"/>
  <c r="X239" i="5"/>
  <c r="X240" i="5"/>
  <c r="X241" i="5"/>
  <c r="X242" i="5"/>
  <c r="X243" i="5"/>
  <c r="AD243" i="5" s="1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AD258" i="5" s="1"/>
  <c r="X259" i="5"/>
  <c r="X260" i="5"/>
  <c r="X261" i="5"/>
  <c r="X262" i="5"/>
  <c r="X263" i="5"/>
  <c r="X264" i="5"/>
  <c r="X265" i="5"/>
  <c r="X266" i="5"/>
  <c r="X267" i="5"/>
  <c r="X268" i="5"/>
  <c r="X269" i="5"/>
  <c r="AD269" i="5" s="1"/>
  <c r="X270" i="5"/>
  <c r="X271" i="5"/>
  <c r="X272" i="5"/>
  <c r="X273" i="5"/>
  <c r="X274" i="5"/>
  <c r="X275" i="5"/>
  <c r="X276" i="5"/>
  <c r="AD276" i="5" s="1"/>
  <c r="X277" i="5"/>
  <c r="X278" i="5"/>
  <c r="X279" i="5"/>
  <c r="X280" i="5"/>
  <c r="AD280" i="5" s="1"/>
  <c r="X281" i="5"/>
  <c r="X282" i="5"/>
  <c r="X283" i="5"/>
  <c r="X284" i="5"/>
  <c r="X285" i="5"/>
  <c r="X286" i="5"/>
  <c r="X287" i="5"/>
  <c r="X288" i="5"/>
  <c r="X289" i="5"/>
  <c r="AD289" i="5" s="1"/>
  <c r="X290" i="5"/>
  <c r="X291" i="5"/>
  <c r="X292" i="5"/>
  <c r="X293" i="5"/>
  <c r="X294" i="5"/>
  <c r="X295" i="5"/>
  <c r="X296" i="5"/>
  <c r="X297" i="5"/>
  <c r="X298" i="5"/>
  <c r="X299" i="5"/>
  <c r="AD299" i="5" s="1"/>
  <c r="X300" i="5"/>
  <c r="X301" i="5"/>
  <c r="X302" i="5"/>
  <c r="X303" i="5"/>
  <c r="AD303" i="5" s="1"/>
  <c r="X304" i="5"/>
  <c r="X305" i="5"/>
  <c r="X306" i="5"/>
  <c r="X307" i="5"/>
  <c r="X308" i="5"/>
  <c r="X309" i="5"/>
  <c r="X310" i="5"/>
  <c r="X311" i="5"/>
  <c r="X312" i="5"/>
  <c r="X313" i="5"/>
  <c r="AD313" i="5" s="1"/>
  <c r="X314" i="5"/>
  <c r="AD314" i="5" s="1"/>
  <c r="X315" i="5"/>
  <c r="X316" i="5"/>
  <c r="X317" i="5"/>
  <c r="X318" i="5"/>
  <c r="X319" i="5"/>
  <c r="X320" i="5"/>
  <c r="X321" i="5"/>
  <c r="X322" i="5"/>
  <c r="X323" i="5"/>
  <c r="X324" i="5"/>
  <c r="X325" i="5"/>
  <c r="X326" i="5"/>
  <c r="AD326" i="5" s="1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AD344" i="5" s="1"/>
  <c r="X345" i="5"/>
  <c r="X346" i="5"/>
  <c r="X347" i="5"/>
  <c r="X348" i="5"/>
  <c r="X349" i="5"/>
  <c r="X350" i="5"/>
  <c r="X351" i="5"/>
  <c r="X352" i="5"/>
  <c r="AD352" i="5" s="1"/>
  <c r="X353" i="5"/>
  <c r="X354" i="5"/>
  <c r="X355" i="5"/>
  <c r="X356" i="5"/>
  <c r="X357" i="5"/>
  <c r="AD357" i="5" s="1"/>
  <c r="X358" i="5"/>
  <c r="X359" i="5"/>
  <c r="X360" i="5"/>
  <c r="AD360" i="5" s="1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AD389" i="5" s="1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AD405" i="5" s="1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AD428" i="5" s="1"/>
  <c r="X429" i="5"/>
  <c r="X430" i="5"/>
  <c r="X431" i="5"/>
  <c r="X432" i="5"/>
  <c r="AD432" i="5" s="1"/>
  <c r="X433" i="5"/>
  <c r="X434" i="5"/>
  <c r="AD434" i="5" s="1"/>
  <c r="X435" i="5"/>
  <c r="X436" i="5"/>
  <c r="X437" i="5"/>
  <c r="X438" i="5"/>
  <c r="X439" i="5"/>
  <c r="X440" i="5"/>
  <c r="AD440" i="5" s="1"/>
  <c r="X441" i="5"/>
  <c r="X442" i="5"/>
  <c r="X443" i="5"/>
  <c r="X444" i="5"/>
  <c r="X445" i="5"/>
  <c r="X446" i="5"/>
  <c r="X447" i="5"/>
  <c r="AD447" i="5" s="1"/>
  <c r="X448" i="5"/>
  <c r="X449" i="5"/>
  <c r="AD449" i="5" s="1"/>
  <c r="X450" i="5"/>
  <c r="X451" i="5"/>
  <c r="X452" i="5"/>
  <c r="X453" i="5"/>
  <c r="X454" i="5"/>
  <c r="AD454" i="5" s="1"/>
  <c r="X455" i="5"/>
  <c r="X456" i="5"/>
  <c r="X457" i="5"/>
  <c r="X458" i="5"/>
  <c r="X459" i="5"/>
  <c r="X460" i="5"/>
  <c r="X461" i="5"/>
  <c r="X462" i="5"/>
  <c r="X463" i="5"/>
  <c r="X464" i="5"/>
  <c r="X465" i="5"/>
  <c r="AD465" i="5" s="1"/>
  <c r="X466" i="5"/>
  <c r="AD466" i="5" s="1"/>
  <c r="X467" i="5"/>
  <c r="X468" i="5"/>
  <c r="AD468" i="5" s="1"/>
  <c r="X469" i="5"/>
  <c r="X470" i="5"/>
  <c r="AD470" i="5" s="1"/>
  <c r="X471" i="5"/>
  <c r="X472" i="5"/>
  <c r="X473" i="5"/>
  <c r="AD473" i="5" s="1"/>
  <c r="X474" i="5"/>
  <c r="X475" i="5"/>
  <c r="X476" i="5"/>
  <c r="X477" i="5"/>
  <c r="X478" i="5"/>
  <c r="X479" i="5"/>
  <c r="X480" i="5"/>
  <c r="X481" i="5"/>
  <c r="AD481" i="5" s="1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AD520" i="5" s="1"/>
  <c r="X521" i="5"/>
  <c r="X522" i="5"/>
  <c r="X523" i="5"/>
  <c r="X524" i="5"/>
  <c r="X525" i="5"/>
  <c r="X526" i="5"/>
  <c r="X527" i="5"/>
  <c r="X528" i="5"/>
  <c r="X529" i="5"/>
  <c r="X530" i="5"/>
  <c r="AD530" i="5" s="1"/>
  <c r="X531" i="5"/>
  <c r="X532" i="5"/>
  <c r="X533" i="5"/>
  <c r="X534" i="5"/>
  <c r="X535" i="5"/>
  <c r="X536" i="5"/>
  <c r="X537" i="5"/>
  <c r="X538" i="5"/>
  <c r="X539" i="5"/>
  <c r="X540" i="5"/>
  <c r="AD540" i="5" s="1"/>
  <c r="X541" i="5"/>
  <c r="X542" i="5"/>
  <c r="AD542" i="5" s="1"/>
  <c r="X543" i="5"/>
  <c r="AD543" i="5" s="1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AD557" i="5" s="1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AD582" i="5" s="1"/>
  <c r="X583" i="5"/>
  <c r="X584" i="5"/>
  <c r="X585" i="5"/>
  <c r="X586" i="5"/>
  <c r="X587" i="5"/>
  <c r="X588" i="5"/>
  <c r="AD588" i="5" s="1"/>
  <c r="X589" i="5"/>
  <c r="X590" i="5"/>
  <c r="X591" i="5"/>
  <c r="X592" i="5"/>
  <c r="X593" i="5"/>
  <c r="X594" i="5"/>
  <c r="AD594" i="5" s="1"/>
  <c r="X595" i="5"/>
  <c r="X596" i="5"/>
  <c r="X597" i="5"/>
  <c r="X598" i="5"/>
  <c r="X599" i="5"/>
  <c r="X600" i="5"/>
  <c r="X601" i="5"/>
  <c r="X602" i="5"/>
  <c r="AD602" i="5" s="1"/>
  <c r="X603" i="5"/>
  <c r="X604" i="5"/>
  <c r="X605" i="5"/>
  <c r="X606" i="5"/>
  <c r="AD606" i="5" s="1"/>
  <c r="X607" i="5"/>
  <c r="X608" i="5"/>
  <c r="X609" i="5"/>
  <c r="X610" i="5"/>
  <c r="X611" i="5"/>
  <c r="X612" i="5"/>
  <c r="X613" i="5"/>
  <c r="AD613" i="5" s="1"/>
  <c r="X614" i="5"/>
  <c r="X615" i="5"/>
  <c r="X616" i="5"/>
  <c r="AD616" i="5" s="1"/>
  <c r="X617" i="5"/>
  <c r="X618" i="5"/>
  <c r="X619" i="5"/>
  <c r="X620" i="5"/>
  <c r="X621" i="5"/>
  <c r="X622" i="5"/>
  <c r="X623" i="5"/>
  <c r="AD623" i="5" s="1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AD645" i="5" s="1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AD658" i="5" s="1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AD677" i="5" s="1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AD697" i="5" s="1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AD719" i="5" s="1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AD738" i="5" s="1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AD778" i="5" s="1"/>
  <c r="X779" i="5"/>
  <c r="AD779" i="5" s="1"/>
  <c r="X780" i="5"/>
  <c r="X781" i="5"/>
  <c r="X782" i="5"/>
  <c r="X783" i="5"/>
  <c r="X784" i="5"/>
  <c r="X785" i="5"/>
  <c r="X786" i="5"/>
  <c r="X787" i="5"/>
  <c r="X788" i="5"/>
  <c r="X789" i="5"/>
  <c r="X790" i="5"/>
  <c r="AD790" i="5" s="1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AD806" i="5" s="1"/>
  <c r="X807" i="5"/>
  <c r="X808" i="5"/>
  <c r="X809" i="5"/>
  <c r="X810" i="5"/>
  <c r="AD810" i="5" s="1"/>
  <c r="X811" i="5"/>
  <c r="X812" i="5"/>
  <c r="X813" i="5"/>
  <c r="X814" i="5"/>
  <c r="X815" i="5"/>
  <c r="X816" i="5"/>
  <c r="X817" i="5"/>
  <c r="X818" i="5"/>
  <c r="X819" i="5"/>
  <c r="X820" i="5"/>
  <c r="AD820" i="5" s="1"/>
  <c r="X821" i="5"/>
  <c r="X822" i="5"/>
  <c r="X823" i="5"/>
  <c r="AD823" i="5" s="1"/>
  <c r="X824" i="5"/>
  <c r="AD824" i="5" s="1"/>
  <c r="X825" i="5"/>
  <c r="X826" i="5"/>
  <c r="X827" i="5"/>
  <c r="X828" i="5"/>
  <c r="X829" i="5"/>
  <c r="AD829" i="5" s="1"/>
  <c r="X830" i="5"/>
  <c r="X831" i="5"/>
  <c r="X832" i="5"/>
  <c r="X833" i="5"/>
  <c r="AD833" i="5" s="1"/>
  <c r="X834" i="5"/>
  <c r="X835" i="5"/>
  <c r="X836" i="5"/>
  <c r="X837" i="5"/>
  <c r="AD837" i="5" s="1"/>
  <c r="X838" i="5"/>
  <c r="X839" i="5"/>
  <c r="X840" i="5"/>
  <c r="X841" i="5"/>
  <c r="X842" i="5"/>
  <c r="X843" i="5"/>
  <c r="X844" i="5"/>
  <c r="AD844" i="5" s="1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AD859" i="5" s="1"/>
  <c r="X860" i="5"/>
  <c r="X861" i="5"/>
  <c r="X862" i="5"/>
  <c r="X863" i="5"/>
  <c r="X864" i="5"/>
  <c r="X865" i="5"/>
  <c r="X866" i="5"/>
  <c r="AD866" i="5" s="1"/>
  <c r="X867" i="5"/>
  <c r="AD867" i="5" s="1"/>
  <c r="X868" i="5"/>
  <c r="X869" i="5"/>
  <c r="X870" i="5"/>
  <c r="AD870" i="5" s="1"/>
  <c r="X871" i="5"/>
  <c r="X872" i="5"/>
  <c r="X873" i="5"/>
  <c r="X874" i="5"/>
  <c r="X875" i="5"/>
  <c r="X876" i="5"/>
  <c r="X877" i="5"/>
  <c r="X878" i="5"/>
  <c r="X879" i="5"/>
  <c r="X880" i="5"/>
  <c r="X881" i="5"/>
  <c r="X882" i="5"/>
  <c r="AD882" i="5" s="1"/>
  <c r="X883" i="5"/>
  <c r="AD883" i="5" s="1"/>
  <c r="X884" i="5"/>
  <c r="X885" i="5"/>
  <c r="X886" i="5"/>
  <c r="X887" i="5"/>
  <c r="X888" i="5"/>
  <c r="AD888" i="5" s="1"/>
  <c r="X889" i="5"/>
  <c r="X890" i="5"/>
  <c r="X891" i="5"/>
  <c r="X892" i="5"/>
  <c r="X893" i="5"/>
  <c r="AD893" i="5" s="1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AD910" i="5" s="1"/>
  <c r="X911" i="5"/>
  <c r="X912" i="5"/>
  <c r="X913" i="5"/>
  <c r="X2" i="5"/>
  <c r="W3" i="5"/>
  <c r="Y3" i="5" s="1"/>
  <c r="Z3" i="5" s="1"/>
  <c r="AA3" i="5" s="1"/>
  <c r="W4" i="5"/>
  <c r="Y4" i="5" s="1"/>
  <c r="Z4" i="5" s="1"/>
  <c r="AA4" i="5" s="1"/>
  <c r="W5" i="5"/>
  <c r="Y5" i="5" s="1"/>
  <c r="Z5" i="5" s="1"/>
  <c r="AA5" i="5" s="1"/>
  <c r="W6" i="5"/>
  <c r="Y6" i="5" s="1"/>
  <c r="Z6" i="5" s="1"/>
  <c r="AA6" i="5" s="1"/>
  <c r="W7" i="5"/>
  <c r="Y7" i="5" s="1"/>
  <c r="Z7" i="5" s="1"/>
  <c r="AA7" i="5" s="1"/>
  <c r="W8" i="5"/>
  <c r="Y8" i="5" s="1"/>
  <c r="Z8" i="5" s="1"/>
  <c r="AA8" i="5" s="1"/>
  <c r="W9" i="5"/>
  <c r="Y9" i="5" s="1"/>
  <c r="Z9" i="5" s="1"/>
  <c r="AA9" i="5" s="1"/>
  <c r="W10" i="5"/>
  <c r="Y10" i="5" s="1"/>
  <c r="Z10" i="5" s="1"/>
  <c r="AA10" i="5" s="1"/>
  <c r="W11" i="5"/>
  <c r="Y11" i="5" s="1"/>
  <c r="Z11" i="5" s="1"/>
  <c r="AA11" i="5" s="1"/>
  <c r="W12" i="5"/>
  <c r="Y12" i="5" s="1"/>
  <c r="Z12" i="5" s="1"/>
  <c r="AA12" i="5" s="1"/>
  <c r="W13" i="5"/>
  <c r="Y13" i="5" s="1"/>
  <c r="Z13" i="5" s="1"/>
  <c r="AA13" i="5" s="1"/>
  <c r="W14" i="5"/>
  <c r="Y14" i="5" s="1"/>
  <c r="Z14" i="5" s="1"/>
  <c r="AA14" i="5" s="1"/>
  <c r="W15" i="5"/>
  <c r="Y15" i="5" s="1"/>
  <c r="Z15" i="5" s="1"/>
  <c r="AA15" i="5" s="1"/>
  <c r="W16" i="5"/>
  <c r="Y16" i="5" s="1"/>
  <c r="Z16" i="5" s="1"/>
  <c r="AA16" i="5" s="1"/>
  <c r="W17" i="5"/>
  <c r="Y17" i="5" s="1"/>
  <c r="Z17" i="5" s="1"/>
  <c r="AA17" i="5" s="1"/>
  <c r="W18" i="5"/>
  <c r="Y18" i="5" s="1"/>
  <c r="Z18" i="5" s="1"/>
  <c r="AA18" i="5" s="1"/>
  <c r="W19" i="5"/>
  <c r="Y19" i="5" s="1"/>
  <c r="Z19" i="5" s="1"/>
  <c r="AA19" i="5" s="1"/>
  <c r="W20" i="5"/>
  <c r="Y20" i="5" s="1"/>
  <c r="Z20" i="5" s="1"/>
  <c r="AA20" i="5" s="1"/>
  <c r="W21" i="5"/>
  <c r="Y21" i="5" s="1"/>
  <c r="Z21" i="5" s="1"/>
  <c r="AA21" i="5" s="1"/>
  <c r="W22" i="5"/>
  <c r="Y22" i="5" s="1"/>
  <c r="Z22" i="5" s="1"/>
  <c r="AA22" i="5" s="1"/>
  <c r="W23" i="5"/>
  <c r="Y23" i="5" s="1"/>
  <c r="Z23" i="5" s="1"/>
  <c r="AA23" i="5" s="1"/>
  <c r="W24" i="5"/>
  <c r="Y24" i="5" s="1"/>
  <c r="Z24" i="5" s="1"/>
  <c r="AA24" i="5" s="1"/>
  <c r="W25" i="5"/>
  <c r="Y25" i="5" s="1"/>
  <c r="Z25" i="5" s="1"/>
  <c r="AA25" i="5" s="1"/>
  <c r="W26" i="5"/>
  <c r="Y26" i="5" s="1"/>
  <c r="Z26" i="5" s="1"/>
  <c r="AA26" i="5" s="1"/>
  <c r="W27" i="5"/>
  <c r="Y27" i="5" s="1"/>
  <c r="Z27" i="5" s="1"/>
  <c r="AA27" i="5" s="1"/>
  <c r="W28" i="5"/>
  <c r="Y28" i="5" s="1"/>
  <c r="Z28" i="5" s="1"/>
  <c r="AA28" i="5" s="1"/>
  <c r="W29" i="5"/>
  <c r="Y29" i="5" s="1"/>
  <c r="Z29" i="5" s="1"/>
  <c r="AA29" i="5" s="1"/>
  <c r="W30" i="5"/>
  <c r="Y30" i="5" s="1"/>
  <c r="Z30" i="5" s="1"/>
  <c r="AA30" i="5" s="1"/>
  <c r="W31" i="5"/>
  <c r="Y31" i="5" s="1"/>
  <c r="Z31" i="5" s="1"/>
  <c r="AA31" i="5" s="1"/>
  <c r="W32" i="5"/>
  <c r="Y32" i="5" s="1"/>
  <c r="Z32" i="5" s="1"/>
  <c r="AA32" i="5" s="1"/>
  <c r="W33" i="5"/>
  <c r="Y33" i="5" s="1"/>
  <c r="Z33" i="5" s="1"/>
  <c r="AA33" i="5" s="1"/>
  <c r="W34" i="5"/>
  <c r="Y34" i="5" s="1"/>
  <c r="Z34" i="5" s="1"/>
  <c r="AA34" i="5" s="1"/>
  <c r="W35" i="5"/>
  <c r="Y35" i="5" s="1"/>
  <c r="Z35" i="5" s="1"/>
  <c r="AA35" i="5" s="1"/>
  <c r="W36" i="5"/>
  <c r="Y36" i="5" s="1"/>
  <c r="Z36" i="5" s="1"/>
  <c r="AA36" i="5" s="1"/>
  <c r="W37" i="5"/>
  <c r="Y37" i="5" s="1"/>
  <c r="Z37" i="5" s="1"/>
  <c r="AA37" i="5" s="1"/>
  <c r="W38" i="5"/>
  <c r="Y38" i="5" s="1"/>
  <c r="Z38" i="5" s="1"/>
  <c r="AA38" i="5" s="1"/>
  <c r="W39" i="5"/>
  <c r="Y39" i="5" s="1"/>
  <c r="Z39" i="5" s="1"/>
  <c r="AA39" i="5" s="1"/>
  <c r="W40" i="5"/>
  <c r="Y40" i="5" s="1"/>
  <c r="Z40" i="5" s="1"/>
  <c r="AA40" i="5" s="1"/>
  <c r="W41" i="5"/>
  <c r="Y41" i="5" s="1"/>
  <c r="Z41" i="5" s="1"/>
  <c r="AA41" i="5" s="1"/>
  <c r="W42" i="5"/>
  <c r="Y42" i="5" s="1"/>
  <c r="Z42" i="5" s="1"/>
  <c r="AA42" i="5" s="1"/>
  <c r="W43" i="5"/>
  <c r="Y43" i="5" s="1"/>
  <c r="Z43" i="5" s="1"/>
  <c r="AA43" i="5" s="1"/>
  <c r="W44" i="5"/>
  <c r="Y44" i="5" s="1"/>
  <c r="Z44" i="5" s="1"/>
  <c r="AA44" i="5" s="1"/>
  <c r="W45" i="5"/>
  <c r="Y45" i="5" s="1"/>
  <c r="Z45" i="5" s="1"/>
  <c r="AA45" i="5" s="1"/>
  <c r="W46" i="5"/>
  <c r="Y46" i="5" s="1"/>
  <c r="Z46" i="5" s="1"/>
  <c r="AA46" i="5" s="1"/>
  <c r="W47" i="5"/>
  <c r="Y47" i="5" s="1"/>
  <c r="Z47" i="5" s="1"/>
  <c r="AA47" i="5" s="1"/>
  <c r="W48" i="5"/>
  <c r="Y48" i="5" s="1"/>
  <c r="Z48" i="5" s="1"/>
  <c r="AA48" i="5" s="1"/>
  <c r="W49" i="5"/>
  <c r="Y49" i="5" s="1"/>
  <c r="Z49" i="5" s="1"/>
  <c r="AA49" i="5" s="1"/>
  <c r="W50" i="5"/>
  <c r="Y50" i="5" s="1"/>
  <c r="Z50" i="5" s="1"/>
  <c r="AA50" i="5" s="1"/>
  <c r="W51" i="5"/>
  <c r="Y51" i="5" s="1"/>
  <c r="Z51" i="5" s="1"/>
  <c r="AA51" i="5" s="1"/>
  <c r="W52" i="5"/>
  <c r="Y52" i="5" s="1"/>
  <c r="Z52" i="5" s="1"/>
  <c r="AA52" i="5" s="1"/>
  <c r="W53" i="5"/>
  <c r="Y53" i="5" s="1"/>
  <c r="Z53" i="5" s="1"/>
  <c r="AA53" i="5" s="1"/>
  <c r="W54" i="5"/>
  <c r="Y54" i="5" s="1"/>
  <c r="Z54" i="5" s="1"/>
  <c r="AA54" i="5" s="1"/>
  <c r="W55" i="5"/>
  <c r="Y55" i="5" s="1"/>
  <c r="Z55" i="5" s="1"/>
  <c r="AA55" i="5" s="1"/>
  <c r="W56" i="5"/>
  <c r="Y56" i="5" s="1"/>
  <c r="Z56" i="5" s="1"/>
  <c r="AA56" i="5" s="1"/>
  <c r="W57" i="5"/>
  <c r="Y57" i="5" s="1"/>
  <c r="Z57" i="5" s="1"/>
  <c r="AA57" i="5" s="1"/>
  <c r="W58" i="5"/>
  <c r="Y58" i="5" s="1"/>
  <c r="Z58" i="5" s="1"/>
  <c r="AA58" i="5" s="1"/>
  <c r="W59" i="5"/>
  <c r="Y59" i="5" s="1"/>
  <c r="Z59" i="5" s="1"/>
  <c r="AA59" i="5" s="1"/>
  <c r="W60" i="5"/>
  <c r="Y60" i="5" s="1"/>
  <c r="Z60" i="5" s="1"/>
  <c r="AA60" i="5" s="1"/>
  <c r="W61" i="5"/>
  <c r="Y61" i="5" s="1"/>
  <c r="Z61" i="5" s="1"/>
  <c r="AA61" i="5" s="1"/>
  <c r="W62" i="5"/>
  <c r="Y62" i="5" s="1"/>
  <c r="Z62" i="5" s="1"/>
  <c r="AA62" i="5" s="1"/>
  <c r="W63" i="5"/>
  <c r="Y63" i="5" s="1"/>
  <c r="Z63" i="5" s="1"/>
  <c r="AA63" i="5" s="1"/>
  <c r="W64" i="5"/>
  <c r="Y64" i="5" s="1"/>
  <c r="Z64" i="5" s="1"/>
  <c r="AA64" i="5" s="1"/>
  <c r="W65" i="5"/>
  <c r="Y65" i="5" s="1"/>
  <c r="Z65" i="5" s="1"/>
  <c r="AA65" i="5" s="1"/>
  <c r="W66" i="5"/>
  <c r="Y66" i="5" s="1"/>
  <c r="Z66" i="5" s="1"/>
  <c r="AA66" i="5" s="1"/>
  <c r="W67" i="5"/>
  <c r="Y67" i="5" s="1"/>
  <c r="Z67" i="5" s="1"/>
  <c r="AA67" i="5" s="1"/>
  <c r="W68" i="5"/>
  <c r="Y68" i="5" s="1"/>
  <c r="Z68" i="5" s="1"/>
  <c r="AA68" i="5" s="1"/>
  <c r="W69" i="5"/>
  <c r="Y69" i="5" s="1"/>
  <c r="Z69" i="5" s="1"/>
  <c r="AA69" i="5" s="1"/>
  <c r="W70" i="5"/>
  <c r="Y70" i="5" s="1"/>
  <c r="Z70" i="5" s="1"/>
  <c r="AA70" i="5" s="1"/>
  <c r="W71" i="5"/>
  <c r="Y71" i="5" s="1"/>
  <c r="Z71" i="5" s="1"/>
  <c r="AA71" i="5" s="1"/>
  <c r="W72" i="5"/>
  <c r="Y72" i="5" s="1"/>
  <c r="Z72" i="5" s="1"/>
  <c r="AA72" i="5" s="1"/>
  <c r="W73" i="5"/>
  <c r="Y73" i="5" s="1"/>
  <c r="Z73" i="5" s="1"/>
  <c r="AA73" i="5" s="1"/>
  <c r="W74" i="5"/>
  <c r="Y74" i="5" s="1"/>
  <c r="Z74" i="5" s="1"/>
  <c r="AA74" i="5" s="1"/>
  <c r="W75" i="5"/>
  <c r="Y75" i="5" s="1"/>
  <c r="Z75" i="5" s="1"/>
  <c r="AA75" i="5" s="1"/>
  <c r="W76" i="5"/>
  <c r="Y76" i="5" s="1"/>
  <c r="Z76" i="5" s="1"/>
  <c r="AA76" i="5" s="1"/>
  <c r="W77" i="5"/>
  <c r="Y77" i="5" s="1"/>
  <c r="Z77" i="5" s="1"/>
  <c r="AA77" i="5" s="1"/>
  <c r="W78" i="5"/>
  <c r="Y78" i="5" s="1"/>
  <c r="Z78" i="5" s="1"/>
  <c r="AA78" i="5" s="1"/>
  <c r="W79" i="5"/>
  <c r="Y79" i="5" s="1"/>
  <c r="Z79" i="5" s="1"/>
  <c r="AA79" i="5" s="1"/>
  <c r="W80" i="5"/>
  <c r="Y80" i="5" s="1"/>
  <c r="Z80" i="5" s="1"/>
  <c r="AA80" i="5" s="1"/>
  <c r="W81" i="5"/>
  <c r="Y81" i="5" s="1"/>
  <c r="Z81" i="5" s="1"/>
  <c r="AA81" i="5" s="1"/>
  <c r="W82" i="5"/>
  <c r="Y82" i="5" s="1"/>
  <c r="Z82" i="5" s="1"/>
  <c r="AA82" i="5" s="1"/>
  <c r="W83" i="5"/>
  <c r="Y83" i="5" s="1"/>
  <c r="Z83" i="5" s="1"/>
  <c r="AA83" i="5" s="1"/>
  <c r="W84" i="5"/>
  <c r="Y84" i="5" s="1"/>
  <c r="Z84" i="5" s="1"/>
  <c r="AA84" i="5" s="1"/>
  <c r="W85" i="5"/>
  <c r="Y85" i="5" s="1"/>
  <c r="Z85" i="5" s="1"/>
  <c r="AA85" i="5" s="1"/>
  <c r="W86" i="5"/>
  <c r="Y86" i="5" s="1"/>
  <c r="Z86" i="5" s="1"/>
  <c r="AA86" i="5" s="1"/>
  <c r="W87" i="5"/>
  <c r="Y87" i="5" s="1"/>
  <c r="Z87" i="5" s="1"/>
  <c r="AA87" i="5" s="1"/>
  <c r="W88" i="5"/>
  <c r="Y88" i="5" s="1"/>
  <c r="Z88" i="5" s="1"/>
  <c r="AA88" i="5" s="1"/>
  <c r="W89" i="5"/>
  <c r="Y89" i="5" s="1"/>
  <c r="Z89" i="5" s="1"/>
  <c r="AA89" i="5" s="1"/>
  <c r="W90" i="5"/>
  <c r="Y90" i="5" s="1"/>
  <c r="Z90" i="5" s="1"/>
  <c r="AA90" i="5" s="1"/>
  <c r="W91" i="5"/>
  <c r="Y91" i="5" s="1"/>
  <c r="Z91" i="5" s="1"/>
  <c r="AA91" i="5" s="1"/>
  <c r="W92" i="5"/>
  <c r="Y92" i="5" s="1"/>
  <c r="Z92" i="5" s="1"/>
  <c r="AA92" i="5" s="1"/>
  <c r="W93" i="5"/>
  <c r="Y93" i="5" s="1"/>
  <c r="Z93" i="5" s="1"/>
  <c r="AA93" i="5" s="1"/>
  <c r="W94" i="5"/>
  <c r="Y94" i="5" s="1"/>
  <c r="Z94" i="5" s="1"/>
  <c r="AA94" i="5" s="1"/>
  <c r="W95" i="5"/>
  <c r="Y95" i="5" s="1"/>
  <c r="Z95" i="5" s="1"/>
  <c r="AA95" i="5" s="1"/>
  <c r="W96" i="5"/>
  <c r="Y96" i="5" s="1"/>
  <c r="Z96" i="5" s="1"/>
  <c r="AA96" i="5" s="1"/>
  <c r="W97" i="5"/>
  <c r="Y97" i="5" s="1"/>
  <c r="Z97" i="5" s="1"/>
  <c r="AA97" i="5" s="1"/>
  <c r="W98" i="5"/>
  <c r="Y98" i="5" s="1"/>
  <c r="Z98" i="5" s="1"/>
  <c r="AA98" i="5" s="1"/>
  <c r="W99" i="5"/>
  <c r="Y99" i="5" s="1"/>
  <c r="Z99" i="5" s="1"/>
  <c r="AA99" i="5" s="1"/>
  <c r="W100" i="5"/>
  <c r="Y100" i="5" s="1"/>
  <c r="Z100" i="5" s="1"/>
  <c r="AA100" i="5" s="1"/>
  <c r="W101" i="5"/>
  <c r="Y101" i="5" s="1"/>
  <c r="Z101" i="5" s="1"/>
  <c r="AA101" i="5" s="1"/>
  <c r="W102" i="5"/>
  <c r="Y102" i="5" s="1"/>
  <c r="Z102" i="5" s="1"/>
  <c r="AA102" i="5" s="1"/>
  <c r="W103" i="5"/>
  <c r="Y103" i="5" s="1"/>
  <c r="Z103" i="5" s="1"/>
  <c r="AA103" i="5" s="1"/>
  <c r="W104" i="5"/>
  <c r="Y104" i="5" s="1"/>
  <c r="Z104" i="5" s="1"/>
  <c r="AA104" i="5" s="1"/>
  <c r="W105" i="5"/>
  <c r="Y105" i="5" s="1"/>
  <c r="Z105" i="5" s="1"/>
  <c r="AA105" i="5" s="1"/>
  <c r="W106" i="5"/>
  <c r="Y106" i="5" s="1"/>
  <c r="Z106" i="5" s="1"/>
  <c r="AA106" i="5" s="1"/>
  <c r="W107" i="5"/>
  <c r="Y107" i="5" s="1"/>
  <c r="Z107" i="5" s="1"/>
  <c r="AA107" i="5" s="1"/>
  <c r="W108" i="5"/>
  <c r="Y108" i="5" s="1"/>
  <c r="Z108" i="5" s="1"/>
  <c r="AA108" i="5" s="1"/>
  <c r="W109" i="5"/>
  <c r="Y109" i="5" s="1"/>
  <c r="Z109" i="5" s="1"/>
  <c r="AA109" i="5" s="1"/>
  <c r="W110" i="5"/>
  <c r="Y110" i="5" s="1"/>
  <c r="Z110" i="5" s="1"/>
  <c r="AA110" i="5" s="1"/>
  <c r="W111" i="5"/>
  <c r="Y111" i="5" s="1"/>
  <c r="Z111" i="5" s="1"/>
  <c r="AA111" i="5" s="1"/>
  <c r="W112" i="5"/>
  <c r="Y112" i="5" s="1"/>
  <c r="Z112" i="5" s="1"/>
  <c r="AA112" i="5" s="1"/>
  <c r="W113" i="5"/>
  <c r="Y113" i="5" s="1"/>
  <c r="Z113" i="5" s="1"/>
  <c r="AA113" i="5" s="1"/>
  <c r="W114" i="5"/>
  <c r="Y114" i="5" s="1"/>
  <c r="Z114" i="5" s="1"/>
  <c r="AA114" i="5" s="1"/>
  <c r="W115" i="5"/>
  <c r="Y115" i="5" s="1"/>
  <c r="Z115" i="5" s="1"/>
  <c r="AA115" i="5" s="1"/>
  <c r="W116" i="5"/>
  <c r="Y116" i="5" s="1"/>
  <c r="Z116" i="5" s="1"/>
  <c r="AA116" i="5" s="1"/>
  <c r="W117" i="5"/>
  <c r="Y117" i="5" s="1"/>
  <c r="Z117" i="5" s="1"/>
  <c r="AA117" i="5" s="1"/>
  <c r="W118" i="5"/>
  <c r="Y118" i="5" s="1"/>
  <c r="Z118" i="5" s="1"/>
  <c r="AA118" i="5" s="1"/>
  <c r="W119" i="5"/>
  <c r="Y119" i="5" s="1"/>
  <c r="Z119" i="5" s="1"/>
  <c r="AA119" i="5" s="1"/>
  <c r="W120" i="5"/>
  <c r="Y120" i="5" s="1"/>
  <c r="Z120" i="5" s="1"/>
  <c r="AA120" i="5" s="1"/>
  <c r="W121" i="5"/>
  <c r="Y121" i="5" s="1"/>
  <c r="Z121" i="5" s="1"/>
  <c r="AA121" i="5" s="1"/>
  <c r="W122" i="5"/>
  <c r="Y122" i="5" s="1"/>
  <c r="Z122" i="5" s="1"/>
  <c r="AA122" i="5" s="1"/>
  <c r="W123" i="5"/>
  <c r="Y123" i="5" s="1"/>
  <c r="Z123" i="5" s="1"/>
  <c r="AA123" i="5" s="1"/>
  <c r="W124" i="5"/>
  <c r="Y124" i="5" s="1"/>
  <c r="Z124" i="5" s="1"/>
  <c r="AA124" i="5" s="1"/>
  <c r="W125" i="5"/>
  <c r="Y125" i="5" s="1"/>
  <c r="Z125" i="5" s="1"/>
  <c r="AA125" i="5" s="1"/>
  <c r="W126" i="5"/>
  <c r="Y126" i="5" s="1"/>
  <c r="Z126" i="5" s="1"/>
  <c r="AA126" i="5" s="1"/>
  <c r="W127" i="5"/>
  <c r="Y127" i="5" s="1"/>
  <c r="Z127" i="5" s="1"/>
  <c r="AA127" i="5" s="1"/>
  <c r="W128" i="5"/>
  <c r="Y128" i="5" s="1"/>
  <c r="Z128" i="5" s="1"/>
  <c r="AA128" i="5" s="1"/>
  <c r="W129" i="5"/>
  <c r="Y129" i="5" s="1"/>
  <c r="Z129" i="5" s="1"/>
  <c r="AA129" i="5" s="1"/>
  <c r="W130" i="5"/>
  <c r="Y130" i="5" s="1"/>
  <c r="Z130" i="5" s="1"/>
  <c r="AA130" i="5" s="1"/>
  <c r="W131" i="5"/>
  <c r="Y131" i="5" s="1"/>
  <c r="Z131" i="5" s="1"/>
  <c r="AA131" i="5" s="1"/>
  <c r="W132" i="5"/>
  <c r="Y132" i="5" s="1"/>
  <c r="Z132" i="5" s="1"/>
  <c r="AA132" i="5" s="1"/>
  <c r="W133" i="5"/>
  <c r="Y133" i="5" s="1"/>
  <c r="Z133" i="5" s="1"/>
  <c r="AA133" i="5" s="1"/>
  <c r="W134" i="5"/>
  <c r="Y134" i="5" s="1"/>
  <c r="Z134" i="5" s="1"/>
  <c r="AA134" i="5" s="1"/>
  <c r="W135" i="5"/>
  <c r="Y135" i="5" s="1"/>
  <c r="Z135" i="5" s="1"/>
  <c r="AA135" i="5" s="1"/>
  <c r="W136" i="5"/>
  <c r="Y136" i="5" s="1"/>
  <c r="Z136" i="5" s="1"/>
  <c r="AA136" i="5" s="1"/>
  <c r="W137" i="5"/>
  <c r="Y137" i="5" s="1"/>
  <c r="Z137" i="5" s="1"/>
  <c r="AA137" i="5" s="1"/>
  <c r="W138" i="5"/>
  <c r="Y138" i="5" s="1"/>
  <c r="Z138" i="5" s="1"/>
  <c r="AA138" i="5" s="1"/>
  <c r="W139" i="5"/>
  <c r="Y139" i="5" s="1"/>
  <c r="Z139" i="5" s="1"/>
  <c r="AA139" i="5" s="1"/>
  <c r="W140" i="5"/>
  <c r="Y140" i="5" s="1"/>
  <c r="Z140" i="5" s="1"/>
  <c r="AA140" i="5" s="1"/>
  <c r="W141" i="5"/>
  <c r="Y141" i="5" s="1"/>
  <c r="Z141" i="5" s="1"/>
  <c r="AA141" i="5" s="1"/>
  <c r="W142" i="5"/>
  <c r="Y142" i="5" s="1"/>
  <c r="Z142" i="5" s="1"/>
  <c r="AA142" i="5" s="1"/>
  <c r="W143" i="5"/>
  <c r="Y143" i="5" s="1"/>
  <c r="Z143" i="5" s="1"/>
  <c r="AA143" i="5" s="1"/>
  <c r="W144" i="5"/>
  <c r="Y144" i="5" s="1"/>
  <c r="Z144" i="5" s="1"/>
  <c r="AA144" i="5" s="1"/>
  <c r="W145" i="5"/>
  <c r="Y145" i="5" s="1"/>
  <c r="Z145" i="5" s="1"/>
  <c r="AA145" i="5" s="1"/>
  <c r="W146" i="5"/>
  <c r="Y146" i="5" s="1"/>
  <c r="Z146" i="5" s="1"/>
  <c r="AA146" i="5" s="1"/>
  <c r="W147" i="5"/>
  <c r="Y147" i="5" s="1"/>
  <c r="Z147" i="5" s="1"/>
  <c r="AA147" i="5" s="1"/>
  <c r="W148" i="5"/>
  <c r="Y148" i="5" s="1"/>
  <c r="Z148" i="5" s="1"/>
  <c r="AA148" i="5" s="1"/>
  <c r="W149" i="5"/>
  <c r="Y149" i="5" s="1"/>
  <c r="Z149" i="5" s="1"/>
  <c r="AA149" i="5" s="1"/>
  <c r="W150" i="5"/>
  <c r="Y150" i="5" s="1"/>
  <c r="Z150" i="5" s="1"/>
  <c r="AA150" i="5" s="1"/>
  <c r="W151" i="5"/>
  <c r="Y151" i="5" s="1"/>
  <c r="Z151" i="5" s="1"/>
  <c r="AA151" i="5" s="1"/>
  <c r="W152" i="5"/>
  <c r="Y152" i="5" s="1"/>
  <c r="Z152" i="5" s="1"/>
  <c r="AA152" i="5" s="1"/>
  <c r="W153" i="5"/>
  <c r="Y153" i="5" s="1"/>
  <c r="Z153" i="5" s="1"/>
  <c r="AA153" i="5" s="1"/>
  <c r="W154" i="5"/>
  <c r="Y154" i="5" s="1"/>
  <c r="Z154" i="5" s="1"/>
  <c r="AA154" i="5" s="1"/>
  <c r="W155" i="5"/>
  <c r="Y155" i="5" s="1"/>
  <c r="Z155" i="5" s="1"/>
  <c r="AA155" i="5" s="1"/>
  <c r="W156" i="5"/>
  <c r="Y156" i="5" s="1"/>
  <c r="Z156" i="5" s="1"/>
  <c r="AA156" i="5" s="1"/>
  <c r="W157" i="5"/>
  <c r="Y157" i="5" s="1"/>
  <c r="Z157" i="5" s="1"/>
  <c r="AA157" i="5" s="1"/>
  <c r="W158" i="5"/>
  <c r="Y158" i="5" s="1"/>
  <c r="Z158" i="5" s="1"/>
  <c r="AA158" i="5" s="1"/>
  <c r="W159" i="5"/>
  <c r="Y159" i="5" s="1"/>
  <c r="Z159" i="5" s="1"/>
  <c r="AA159" i="5" s="1"/>
  <c r="W160" i="5"/>
  <c r="Y160" i="5" s="1"/>
  <c r="Z160" i="5" s="1"/>
  <c r="AA160" i="5" s="1"/>
  <c r="W161" i="5"/>
  <c r="Y161" i="5" s="1"/>
  <c r="Z161" i="5" s="1"/>
  <c r="AA161" i="5" s="1"/>
  <c r="W162" i="5"/>
  <c r="Y162" i="5" s="1"/>
  <c r="Z162" i="5" s="1"/>
  <c r="AA162" i="5" s="1"/>
  <c r="W163" i="5"/>
  <c r="Y163" i="5" s="1"/>
  <c r="Z163" i="5" s="1"/>
  <c r="AA163" i="5" s="1"/>
  <c r="W164" i="5"/>
  <c r="Y164" i="5" s="1"/>
  <c r="Z164" i="5" s="1"/>
  <c r="AA164" i="5" s="1"/>
  <c r="W165" i="5"/>
  <c r="Y165" i="5" s="1"/>
  <c r="Z165" i="5" s="1"/>
  <c r="AA165" i="5" s="1"/>
  <c r="W166" i="5"/>
  <c r="Y166" i="5" s="1"/>
  <c r="Z166" i="5" s="1"/>
  <c r="AA166" i="5" s="1"/>
  <c r="W167" i="5"/>
  <c r="Y167" i="5" s="1"/>
  <c r="Z167" i="5" s="1"/>
  <c r="AA167" i="5" s="1"/>
  <c r="W168" i="5"/>
  <c r="Y168" i="5" s="1"/>
  <c r="Z168" i="5" s="1"/>
  <c r="AA168" i="5" s="1"/>
  <c r="W169" i="5"/>
  <c r="Y169" i="5" s="1"/>
  <c r="Z169" i="5" s="1"/>
  <c r="AA169" i="5" s="1"/>
  <c r="W170" i="5"/>
  <c r="Y170" i="5" s="1"/>
  <c r="Z170" i="5" s="1"/>
  <c r="AA170" i="5" s="1"/>
  <c r="W171" i="5"/>
  <c r="Y171" i="5" s="1"/>
  <c r="Z171" i="5" s="1"/>
  <c r="AA171" i="5" s="1"/>
  <c r="W172" i="5"/>
  <c r="Y172" i="5" s="1"/>
  <c r="Z172" i="5" s="1"/>
  <c r="AA172" i="5" s="1"/>
  <c r="W173" i="5"/>
  <c r="Y173" i="5" s="1"/>
  <c r="Z173" i="5" s="1"/>
  <c r="AA173" i="5" s="1"/>
  <c r="W174" i="5"/>
  <c r="Y174" i="5" s="1"/>
  <c r="Z174" i="5" s="1"/>
  <c r="AA174" i="5" s="1"/>
  <c r="W175" i="5"/>
  <c r="Y175" i="5" s="1"/>
  <c r="Z175" i="5" s="1"/>
  <c r="AA175" i="5" s="1"/>
  <c r="W176" i="5"/>
  <c r="Y176" i="5" s="1"/>
  <c r="Z176" i="5" s="1"/>
  <c r="AA176" i="5" s="1"/>
  <c r="W177" i="5"/>
  <c r="Y177" i="5" s="1"/>
  <c r="Z177" i="5" s="1"/>
  <c r="AA177" i="5" s="1"/>
  <c r="W178" i="5"/>
  <c r="Y178" i="5" s="1"/>
  <c r="Z178" i="5" s="1"/>
  <c r="AA178" i="5" s="1"/>
  <c r="W179" i="5"/>
  <c r="Y179" i="5" s="1"/>
  <c r="Z179" i="5" s="1"/>
  <c r="AA179" i="5" s="1"/>
  <c r="W180" i="5"/>
  <c r="Y180" i="5" s="1"/>
  <c r="Z180" i="5" s="1"/>
  <c r="AA180" i="5" s="1"/>
  <c r="W181" i="5"/>
  <c r="Y181" i="5" s="1"/>
  <c r="Z181" i="5" s="1"/>
  <c r="AA181" i="5" s="1"/>
  <c r="W182" i="5"/>
  <c r="Y182" i="5" s="1"/>
  <c r="Z182" i="5" s="1"/>
  <c r="AA182" i="5" s="1"/>
  <c r="W183" i="5"/>
  <c r="Y183" i="5" s="1"/>
  <c r="Z183" i="5" s="1"/>
  <c r="AA183" i="5" s="1"/>
  <c r="W184" i="5"/>
  <c r="Y184" i="5" s="1"/>
  <c r="Z184" i="5" s="1"/>
  <c r="AA184" i="5" s="1"/>
  <c r="W185" i="5"/>
  <c r="Y185" i="5" s="1"/>
  <c r="Z185" i="5" s="1"/>
  <c r="AA185" i="5" s="1"/>
  <c r="W186" i="5"/>
  <c r="Y186" i="5" s="1"/>
  <c r="Z186" i="5" s="1"/>
  <c r="AA186" i="5" s="1"/>
  <c r="W187" i="5"/>
  <c r="Y187" i="5" s="1"/>
  <c r="Z187" i="5" s="1"/>
  <c r="AA187" i="5" s="1"/>
  <c r="W188" i="5"/>
  <c r="Y188" i="5" s="1"/>
  <c r="Z188" i="5" s="1"/>
  <c r="AA188" i="5" s="1"/>
  <c r="W189" i="5"/>
  <c r="Y189" i="5" s="1"/>
  <c r="Z189" i="5" s="1"/>
  <c r="AA189" i="5" s="1"/>
  <c r="W190" i="5"/>
  <c r="Y190" i="5" s="1"/>
  <c r="Z190" i="5" s="1"/>
  <c r="AA190" i="5" s="1"/>
  <c r="W191" i="5"/>
  <c r="Y191" i="5" s="1"/>
  <c r="Z191" i="5" s="1"/>
  <c r="AA191" i="5" s="1"/>
  <c r="W192" i="5"/>
  <c r="Y192" i="5" s="1"/>
  <c r="Z192" i="5" s="1"/>
  <c r="AA192" i="5" s="1"/>
  <c r="W193" i="5"/>
  <c r="Y193" i="5" s="1"/>
  <c r="Z193" i="5" s="1"/>
  <c r="AA193" i="5" s="1"/>
  <c r="W194" i="5"/>
  <c r="Y194" i="5" s="1"/>
  <c r="Z194" i="5" s="1"/>
  <c r="AA194" i="5" s="1"/>
  <c r="W195" i="5"/>
  <c r="Y195" i="5" s="1"/>
  <c r="Z195" i="5" s="1"/>
  <c r="AA195" i="5" s="1"/>
  <c r="W196" i="5"/>
  <c r="Y196" i="5" s="1"/>
  <c r="Z196" i="5" s="1"/>
  <c r="AA196" i="5" s="1"/>
  <c r="W197" i="5"/>
  <c r="Y197" i="5" s="1"/>
  <c r="Z197" i="5" s="1"/>
  <c r="AA197" i="5" s="1"/>
  <c r="W198" i="5"/>
  <c r="Y198" i="5" s="1"/>
  <c r="Z198" i="5" s="1"/>
  <c r="AA198" i="5" s="1"/>
  <c r="W199" i="5"/>
  <c r="Y199" i="5" s="1"/>
  <c r="Z199" i="5" s="1"/>
  <c r="AA199" i="5" s="1"/>
  <c r="W200" i="5"/>
  <c r="Y200" i="5" s="1"/>
  <c r="Z200" i="5" s="1"/>
  <c r="AA200" i="5" s="1"/>
  <c r="W201" i="5"/>
  <c r="Y201" i="5" s="1"/>
  <c r="Z201" i="5" s="1"/>
  <c r="AA201" i="5" s="1"/>
  <c r="W202" i="5"/>
  <c r="Y202" i="5" s="1"/>
  <c r="Z202" i="5" s="1"/>
  <c r="AA202" i="5" s="1"/>
  <c r="W203" i="5"/>
  <c r="Y203" i="5" s="1"/>
  <c r="Z203" i="5" s="1"/>
  <c r="AA203" i="5" s="1"/>
  <c r="W204" i="5"/>
  <c r="Y204" i="5" s="1"/>
  <c r="Z204" i="5" s="1"/>
  <c r="AA204" i="5" s="1"/>
  <c r="W205" i="5"/>
  <c r="Y205" i="5" s="1"/>
  <c r="Z205" i="5" s="1"/>
  <c r="AA205" i="5" s="1"/>
  <c r="W206" i="5"/>
  <c r="Y206" i="5" s="1"/>
  <c r="Z206" i="5" s="1"/>
  <c r="AA206" i="5" s="1"/>
  <c r="W207" i="5"/>
  <c r="Y207" i="5" s="1"/>
  <c r="Z207" i="5" s="1"/>
  <c r="AA207" i="5" s="1"/>
  <c r="W208" i="5"/>
  <c r="Y208" i="5" s="1"/>
  <c r="Z208" i="5" s="1"/>
  <c r="AA208" i="5" s="1"/>
  <c r="W209" i="5"/>
  <c r="Y209" i="5" s="1"/>
  <c r="Z209" i="5" s="1"/>
  <c r="AA209" i="5" s="1"/>
  <c r="W210" i="5"/>
  <c r="Y210" i="5" s="1"/>
  <c r="Z210" i="5" s="1"/>
  <c r="AA210" i="5" s="1"/>
  <c r="W211" i="5"/>
  <c r="Y211" i="5" s="1"/>
  <c r="Z211" i="5" s="1"/>
  <c r="AA211" i="5" s="1"/>
  <c r="W212" i="5"/>
  <c r="Y212" i="5" s="1"/>
  <c r="Z212" i="5" s="1"/>
  <c r="AA212" i="5" s="1"/>
  <c r="W213" i="5"/>
  <c r="Y213" i="5" s="1"/>
  <c r="Z213" i="5" s="1"/>
  <c r="AA213" i="5" s="1"/>
  <c r="W214" i="5"/>
  <c r="Y214" i="5" s="1"/>
  <c r="Z214" i="5" s="1"/>
  <c r="AA214" i="5" s="1"/>
  <c r="W215" i="5"/>
  <c r="Y215" i="5" s="1"/>
  <c r="Z215" i="5" s="1"/>
  <c r="AA215" i="5" s="1"/>
  <c r="W216" i="5"/>
  <c r="Y216" i="5" s="1"/>
  <c r="Z216" i="5" s="1"/>
  <c r="AA216" i="5" s="1"/>
  <c r="W217" i="5"/>
  <c r="Y217" i="5" s="1"/>
  <c r="Z217" i="5" s="1"/>
  <c r="AA217" i="5" s="1"/>
  <c r="W218" i="5"/>
  <c r="Y218" i="5" s="1"/>
  <c r="Z218" i="5" s="1"/>
  <c r="AA218" i="5" s="1"/>
  <c r="W219" i="5"/>
  <c r="Y219" i="5" s="1"/>
  <c r="Z219" i="5" s="1"/>
  <c r="AA219" i="5" s="1"/>
  <c r="W220" i="5"/>
  <c r="Y220" i="5" s="1"/>
  <c r="Z220" i="5" s="1"/>
  <c r="AA220" i="5" s="1"/>
  <c r="W221" i="5"/>
  <c r="Y221" i="5" s="1"/>
  <c r="Z221" i="5" s="1"/>
  <c r="AA221" i="5" s="1"/>
  <c r="W222" i="5"/>
  <c r="Y222" i="5" s="1"/>
  <c r="Z222" i="5" s="1"/>
  <c r="AA222" i="5" s="1"/>
  <c r="W223" i="5"/>
  <c r="Y223" i="5" s="1"/>
  <c r="Z223" i="5" s="1"/>
  <c r="AA223" i="5" s="1"/>
  <c r="W224" i="5"/>
  <c r="Y224" i="5" s="1"/>
  <c r="Z224" i="5" s="1"/>
  <c r="AA224" i="5" s="1"/>
  <c r="W225" i="5"/>
  <c r="Y225" i="5" s="1"/>
  <c r="Z225" i="5" s="1"/>
  <c r="AA225" i="5" s="1"/>
  <c r="W226" i="5"/>
  <c r="Y226" i="5" s="1"/>
  <c r="Z226" i="5" s="1"/>
  <c r="AA226" i="5" s="1"/>
  <c r="W227" i="5"/>
  <c r="Y227" i="5" s="1"/>
  <c r="Z227" i="5" s="1"/>
  <c r="AA227" i="5" s="1"/>
  <c r="W228" i="5"/>
  <c r="Y228" i="5" s="1"/>
  <c r="Z228" i="5" s="1"/>
  <c r="AA228" i="5" s="1"/>
  <c r="W229" i="5"/>
  <c r="Y229" i="5" s="1"/>
  <c r="Z229" i="5" s="1"/>
  <c r="AA229" i="5" s="1"/>
  <c r="W230" i="5"/>
  <c r="Y230" i="5" s="1"/>
  <c r="Z230" i="5" s="1"/>
  <c r="AA230" i="5" s="1"/>
  <c r="W231" i="5"/>
  <c r="Y231" i="5" s="1"/>
  <c r="Z231" i="5" s="1"/>
  <c r="AA231" i="5" s="1"/>
  <c r="W232" i="5"/>
  <c r="Y232" i="5" s="1"/>
  <c r="Z232" i="5" s="1"/>
  <c r="AA232" i="5" s="1"/>
  <c r="W233" i="5"/>
  <c r="Y233" i="5" s="1"/>
  <c r="Z233" i="5" s="1"/>
  <c r="AA233" i="5" s="1"/>
  <c r="W234" i="5"/>
  <c r="Y234" i="5" s="1"/>
  <c r="Z234" i="5" s="1"/>
  <c r="AA234" i="5" s="1"/>
  <c r="W235" i="5"/>
  <c r="Y235" i="5" s="1"/>
  <c r="Z235" i="5" s="1"/>
  <c r="AA235" i="5" s="1"/>
  <c r="W236" i="5"/>
  <c r="Y236" i="5" s="1"/>
  <c r="Z236" i="5" s="1"/>
  <c r="AA236" i="5" s="1"/>
  <c r="W237" i="5"/>
  <c r="Y237" i="5" s="1"/>
  <c r="Z237" i="5" s="1"/>
  <c r="AA237" i="5" s="1"/>
  <c r="W238" i="5"/>
  <c r="Y238" i="5" s="1"/>
  <c r="Z238" i="5" s="1"/>
  <c r="AA238" i="5" s="1"/>
  <c r="W239" i="5"/>
  <c r="Y239" i="5" s="1"/>
  <c r="Z239" i="5" s="1"/>
  <c r="AA239" i="5" s="1"/>
  <c r="W240" i="5"/>
  <c r="Y240" i="5" s="1"/>
  <c r="Z240" i="5" s="1"/>
  <c r="AA240" i="5" s="1"/>
  <c r="W241" i="5"/>
  <c r="Y241" i="5" s="1"/>
  <c r="Z241" i="5" s="1"/>
  <c r="AA241" i="5" s="1"/>
  <c r="W242" i="5"/>
  <c r="Y242" i="5" s="1"/>
  <c r="Z242" i="5" s="1"/>
  <c r="AA242" i="5" s="1"/>
  <c r="W243" i="5"/>
  <c r="Y243" i="5" s="1"/>
  <c r="Z243" i="5" s="1"/>
  <c r="AA243" i="5" s="1"/>
  <c r="W244" i="5"/>
  <c r="Y244" i="5" s="1"/>
  <c r="Z244" i="5" s="1"/>
  <c r="AA244" i="5" s="1"/>
  <c r="W245" i="5"/>
  <c r="Y245" i="5" s="1"/>
  <c r="Z245" i="5" s="1"/>
  <c r="AA245" i="5" s="1"/>
  <c r="W246" i="5"/>
  <c r="Y246" i="5" s="1"/>
  <c r="Z246" i="5" s="1"/>
  <c r="AA246" i="5" s="1"/>
  <c r="W247" i="5"/>
  <c r="Y247" i="5" s="1"/>
  <c r="Z247" i="5" s="1"/>
  <c r="AA247" i="5" s="1"/>
  <c r="W248" i="5"/>
  <c r="Y248" i="5" s="1"/>
  <c r="Z248" i="5" s="1"/>
  <c r="AA248" i="5" s="1"/>
  <c r="W249" i="5"/>
  <c r="Y249" i="5" s="1"/>
  <c r="Z249" i="5" s="1"/>
  <c r="AA249" i="5" s="1"/>
  <c r="W250" i="5"/>
  <c r="Y250" i="5" s="1"/>
  <c r="Z250" i="5" s="1"/>
  <c r="AA250" i="5" s="1"/>
  <c r="W251" i="5"/>
  <c r="Y251" i="5" s="1"/>
  <c r="Z251" i="5" s="1"/>
  <c r="AA251" i="5" s="1"/>
  <c r="W252" i="5"/>
  <c r="Y252" i="5" s="1"/>
  <c r="Z252" i="5" s="1"/>
  <c r="AA252" i="5" s="1"/>
  <c r="W253" i="5"/>
  <c r="Y253" i="5" s="1"/>
  <c r="Z253" i="5" s="1"/>
  <c r="AA253" i="5" s="1"/>
  <c r="W254" i="5"/>
  <c r="Y254" i="5" s="1"/>
  <c r="Z254" i="5" s="1"/>
  <c r="AA254" i="5" s="1"/>
  <c r="W255" i="5"/>
  <c r="Y255" i="5" s="1"/>
  <c r="Z255" i="5" s="1"/>
  <c r="AA255" i="5" s="1"/>
  <c r="W256" i="5"/>
  <c r="Y256" i="5" s="1"/>
  <c r="Z256" i="5" s="1"/>
  <c r="AA256" i="5" s="1"/>
  <c r="W257" i="5"/>
  <c r="Y257" i="5" s="1"/>
  <c r="Z257" i="5" s="1"/>
  <c r="AA257" i="5" s="1"/>
  <c r="W258" i="5"/>
  <c r="Y258" i="5" s="1"/>
  <c r="Z258" i="5" s="1"/>
  <c r="AA258" i="5" s="1"/>
  <c r="W259" i="5"/>
  <c r="Y259" i="5" s="1"/>
  <c r="Z259" i="5" s="1"/>
  <c r="AA259" i="5" s="1"/>
  <c r="W260" i="5"/>
  <c r="Y260" i="5" s="1"/>
  <c r="Z260" i="5" s="1"/>
  <c r="AA260" i="5" s="1"/>
  <c r="W261" i="5"/>
  <c r="Y261" i="5" s="1"/>
  <c r="Z261" i="5" s="1"/>
  <c r="AA261" i="5" s="1"/>
  <c r="W262" i="5"/>
  <c r="Y262" i="5" s="1"/>
  <c r="Z262" i="5" s="1"/>
  <c r="AA262" i="5" s="1"/>
  <c r="W263" i="5"/>
  <c r="Y263" i="5" s="1"/>
  <c r="Z263" i="5" s="1"/>
  <c r="AA263" i="5" s="1"/>
  <c r="W264" i="5"/>
  <c r="Y264" i="5" s="1"/>
  <c r="Z264" i="5" s="1"/>
  <c r="AA264" i="5" s="1"/>
  <c r="W265" i="5"/>
  <c r="Y265" i="5" s="1"/>
  <c r="Z265" i="5" s="1"/>
  <c r="AA265" i="5" s="1"/>
  <c r="W266" i="5"/>
  <c r="Y266" i="5" s="1"/>
  <c r="Z266" i="5" s="1"/>
  <c r="AA266" i="5" s="1"/>
  <c r="W267" i="5"/>
  <c r="Y267" i="5" s="1"/>
  <c r="Z267" i="5" s="1"/>
  <c r="AA267" i="5" s="1"/>
  <c r="W268" i="5"/>
  <c r="Y268" i="5" s="1"/>
  <c r="Z268" i="5" s="1"/>
  <c r="AA268" i="5" s="1"/>
  <c r="W269" i="5"/>
  <c r="Y269" i="5" s="1"/>
  <c r="Z269" i="5" s="1"/>
  <c r="AA269" i="5" s="1"/>
  <c r="W270" i="5"/>
  <c r="Y270" i="5" s="1"/>
  <c r="Z270" i="5" s="1"/>
  <c r="AA270" i="5" s="1"/>
  <c r="W271" i="5"/>
  <c r="Y271" i="5" s="1"/>
  <c r="Z271" i="5" s="1"/>
  <c r="AA271" i="5" s="1"/>
  <c r="W272" i="5"/>
  <c r="Y272" i="5" s="1"/>
  <c r="Z272" i="5" s="1"/>
  <c r="AA272" i="5" s="1"/>
  <c r="W273" i="5"/>
  <c r="Y273" i="5" s="1"/>
  <c r="Z273" i="5" s="1"/>
  <c r="AA273" i="5" s="1"/>
  <c r="W274" i="5"/>
  <c r="Y274" i="5" s="1"/>
  <c r="Z274" i="5" s="1"/>
  <c r="AA274" i="5" s="1"/>
  <c r="W275" i="5"/>
  <c r="Y275" i="5" s="1"/>
  <c r="Z275" i="5" s="1"/>
  <c r="AA275" i="5" s="1"/>
  <c r="W276" i="5"/>
  <c r="Y276" i="5" s="1"/>
  <c r="Z276" i="5" s="1"/>
  <c r="AA276" i="5" s="1"/>
  <c r="W277" i="5"/>
  <c r="Y277" i="5" s="1"/>
  <c r="Z277" i="5" s="1"/>
  <c r="AA277" i="5" s="1"/>
  <c r="W278" i="5"/>
  <c r="Y278" i="5" s="1"/>
  <c r="Z278" i="5" s="1"/>
  <c r="AA278" i="5" s="1"/>
  <c r="W279" i="5"/>
  <c r="Y279" i="5" s="1"/>
  <c r="Z279" i="5" s="1"/>
  <c r="AA279" i="5" s="1"/>
  <c r="W280" i="5"/>
  <c r="Y280" i="5" s="1"/>
  <c r="Z280" i="5" s="1"/>
  <c r="AA280" i="5" s="1"/>
  <c r="W281" i="5"/>
  <c r="Y281" i="5" s="1"/>
  <c r="Z281" i="5" s="1"/>
  <c r="AA281" i="5" s="1"/>
  <c r="W282" i="5"/>
  <c r="Y282" i="5" s="1"/>
  <c r="Z282" i="5" s="1"/>
  <c r="AA282" i="5" s="1"/>
  <c r="W283" i="5"/>
  <c r="Y283" i="5" s="1"/>
  <c r="Z283" i="5" s="1"/>
  <c r="AA283" i="5" s="1"/>
  <c r="W284" i="5"/>
  <c r="Y284" i="5" s="1"/>
  <c r="Z284" i="5" s="1"/>
  <c r="AA284" i="5" s="1"/>
  <c r="W285" i="5"/>
  <c r="Y285" i="5" s="1"/>
  <c r="Z285" i="5" s="1"/>
  <c r="AA285" i="5" s="1"/>
  <c r="W286" i="5"/>
  <c r="Y286" i="5" s="1"/>
  <c r="Z286" i="5" s="1"/>
  <c r="AA286" i="5" s="1"/>
  <c r="W287" i="5"/>
  <c r="Y287" i="5" s="1"/>
  <c r="Z287" i="5" s="1"/>
  <c r="AA287" i="5" s="1"/>
  <c r="W288" i="5"/>
  <c r="Y288" i="5" s="1"/>
  <c r="Z288" i="5" s="1"/>
  <c r="AA288" i="5" s="1"/>
  <c r="W289" i="5"/>
  <c r="Y289" i="5" s="1"/>
  <c r="Z289" i="5" s="1"/>
  <c r="AA289" i="5" s="1"/>
  <c r="W290" i="5"/>
  <c r="Y290" i="5" s="1"/>
  <c r="Z290" i="5" s="1"/>
  <c r="AA290" i="5" s="1"/>
  <c r="W291" i="5"/>
  <c r="Y291" i="5" s="1"/>
  <c r="Z291" i="5" s="1"/>
  <c r="AA291" i="5" s="1"/>
  <c r="W292" i="5"/>
  <c r="Y292" i="5" s="1"/>
  <c r="Z292" i="5" s="1"/>
  <c r="AA292" i="5" s="1"/>
  <c r="W293" i="5"/>
  <c r="Y293" i="5" s="1"/>
  <c r="Z293" i="5" s="1"/>
  <c r="AA293" i="5" s="1"/>
  <c r="W294" i="5"/>
  <c r="Y294" i="5" s="1"/>
  <c r="Z294" i="5" s="1"/>
  <c r="AA294" i="5" s="1"/>
  <c r="W295" i="5"/>
  <c r="Y295" i="5" s="1"/>
  <c r="Z295" i="5" s="1"/>
  <c r="AA295" i="5" s="1"/>
  <c r="W296" i="5"/>
  <c r="Y296" i="5" s="1"/>
  <c r="Z296" i="5" s="1"/>
  <c r="AA296" i="5" s="1"/>
  <c r="W297" i="5"/>
  <c r="Y297" i="5" s="1"/>
  <c r="Z297" i="5" s="1"/>
  <c r="AA297" i="5" s="1"/>
  <c r="W298" i="5"/>
  <c r="Y298" i="5" s="1"/>
  <c r="Z298" i="5" s="1"/>
  <c r="AA298" i="5" s="1"/>
  <c r="W299" i="5"/>
  <c r="Y299" i="5" s="1"/>
  <c r="Z299" i="5" s="1"/>
  <c r="AA299" i="5" s="1"/>
  <c r="W300" i="5"/>
  <c r="Y300" i="5" s="1"/>
  <c r="Z300" i="5" s="1"/>
  <c r="AA300" i="5" s="1"/>
  <c r="W301" i="5"/>
  <c r="Y301" i="5" s="1"/>
  <c r="Z301" i="5" s="1"/>
  <c r="AA301" i="5" s="1"/>
  <c r="W302" i="5"/>
  <c r="Y302" i="5" s="1"/>
  <c r="Z302" i="5" s="1"/>
  <c r="AA302" i="5" s="1"/>
  <c r="W303" i="5"/>
  <c r="Y303" i="5" s="1"/>
  <c r="Z303" i="5" s="1"/>
  <c r="AA303" i="5" s="1"/>
  <c r="W304" i="5"/>
  <c r="Y304" i="5" s="1"/>
  <c r="Z304" i="5" s="1"/>
  <c r="AA304" i="5" s="1"/>
  <c r="W305" i="5"/>
  <c r="Y305" i="5" s="1"/>
  <c r="Z305" i="5" s="1"/>
  <c r="AA305" i="5" s="1"/>
  <c r="W306" i="5"/>
  <c r="Y306" i="5" s="1"/>
  <c r="Z306" i="5" s="1"/>
  <c r="AA306" i="5" s="1"/>
  <c r="W307" i="5"/>
  <c r="Y307" i="5" s="1"/>
  <c r="Z307" i="5" s="1"/>
  <c r="AA307" i="5" s="1"/>
  <c r="W308" i="5"/>
  <c r="Y308" i="5" s="1"/>
  <c r="Z308" i="5" s="1"/>
  <c r="AA308" i="5" s="1"/>
  <c r="W309" i="5"/>
  <c r="Y309" i="5" s="1"/>
  <c r="Z309" i="5" s="1"/>
  <c r="AA309" i="5" s="1"/>
  <c r="W310" i="5"/>
  <c r="Y310" i="5" s="1"/>
  <c r="Z310" i="5" s="1"/>
  <c r="AA310" i="5" s="1"/>
  <c r="W311" i="5"/>
  <c r="Y311" i="5" s="1"/>
  <c r="Z311" i="5" s="1"/>
  <c r="AA311" i="5" s="1"/>
  <c r="W312" i="5"/>
  <c r="Y312" i="5" s="1"/>
  <c r="Z312" i="5" s="1"/>
  <c r="AA312" i="5" s="1"/>
  <c r="W313" i="5"/>
  <c r="Y313" i="5" s="1"/>
  <c r="Z313" i="5" s="1"/>
  <c r="AA313" i="5" s="1"/>
  <c r="W314" i="5"/>
  <c r="Y314" i="5" s="1"/>
  <c r="Z314" i="5" s="1"/>
  <c r="AA314" i="5" s="1"/>
  <c r="W315" i="5"/>
  <c r="Y315" i="5" s="1"/>
  <c r="Z315" i="5" s="1"/>
  <c r="AA315" i="5" s="1"/>
  <c r="W316" i="5"/>
  <c r="Y316" i="5" s="1"/>
  <c r="Z316" i="5" s="1"/>
  <c r="AA316" i="5" s="1"/>
  <c r="W317" i="5"/>
  <c r="Y317" i="5" s="1"/>
  <c r="Z317" i="5" s="1"/>
  <c r="AA317" i="5" s="1"/>
  <c r="W318" i="5"/>
  <c r="Y318" i="5" s="1"/>
  <c r="Z318" i="5" s="1"/>
  <c r="AA318" i="5" s="1"/>
  <c r="W319" i="5"/>
  <c r="Y319" i="5" s="1"/>
  <c r="Z319" i="5" s="1"/>
  <c r="AA319" i="5" s="1"/>
  <c r="W320" i="5"/>
  <c r="Y320" i="5" s="1"/>
  <c r="Z320" i="5" s="1"/>
  <c r="AA320" i="5" s="1"/>
  <c r="W321" i="5"/>
  <c r="Y321" i="5" s="1"/>
  <c r="Z321" i="5" s="1"/>
  <c r="AA321" i="5" s="1"/>
  <c r="W322" i="5"/>
  <c r="Y322" i="5" s="1"/>
  <c r="Z322" i="5" s="1"/>
  <c r="AA322" i="5" s="1"/>
  <c r="W323" i="5"/>
  <c r="Y323" i="5" s="1"/>
  <c r="Z323" i="5" s="1"/>
  <c r="AA323" i="5" s="1"/>
  <c r="W324" i="5"/>
  <c r="Y324" i="5" s="1"/>
  <c r="Z324" i="5" s="1"/>
  <c r="AA324" i="5" s="1"/>
  <c r="W325" i="5"/>
  <c r="Y325" i="5" s="1"/>
  <c r="Z325" i="5" s="1"/>
  <c r="AA325" i="5" s="1"/>
  <c r="W326" i="5"/>
  <c r="Y326" i="5" s="1"/>
  <c r="Z326" i="5" s="1"/>
  <c r="AA326" i="5" s="1"/>
  <c r="W327" i="5"/>
  <c r="Y327" i="5" s="1"/>
  <c r="Z327" i="5" s="1"/>
  <c r="AA327" i="5" s="1"/>
  <c r="W328" i="5"/>
  <c r="Y328" i="5" s="1"/>
  <c r="Z328" i="5" s="1"/>
  <c r="AA328" i="5" s="1"/>
  <c r="W329" i="5"/>
  <c r="Y329" i="5" s="1"/>
  <c r="Z329" i="5" s="1"/>
  <c r="AA329" i="5" s="1"/>
  <c r="W330" i="5"/>
  <c r="Y330" i="5" s="1"/>
  <c r="Z330" i="5" s="1"/>
  <c r="AA330" i="5" s="1"/>
  <c r="W331" i="5"/>
  <c r="Y331" i="5" s="1"/>
  <c r="Z331" i="5" s="1"/>
  <c r="AA331" i="5" s="1"/>
  <c r="W332" i="5"/>
  <c r="Y332" i="5" s="1"/>
  <c r="Z332" i="5" s="1"/>
  <c r="AA332" i="5" s="1"/>
  <c r="W333" i="5"/>
  <c r="Y333" i="5" s="1"/>
  <c r="Z333" i="5" s="1"/>
  <c r="AA333" i="5" s="1"/>
  <c r="W334" i="5"/>
  <c r="Y334" i="5" s="1"/>
  <c r="Z334" i="5" s="1"/>
  <c r="AA334" i="5" s="1"/>
  <c r="W335" i="5"/>
  <c r="Y335" i="5" s="1"/>
  <c r="Z335" i="5" s="1"/>
  <c r="AA335" i="5" s="1"/>
  <c r="W336" i="5"/>
  <c r="Y336" i="5" s="1"/>
  <c r="Z336" i="5" s="1"/>
  <c r="AA336" i="5" s="1"/>
  <c r="W337" i="5"/>
  <c r="Y337" i="5" s="1"/>
  <c r="Z337" i="5" s="1"/>
  <c r="AA337" i="5" s="1"/>
  <c r="W338" i="5"/>
  <c r="Y338" i="5" s="1"/>
  <c r="Z338" i="5" s="1"/>
  <c r="AA338" i="5" s="1"/>
  <c r="W339" i="5"/>
  <c r="Y339" i="5" s="1"/>
  <c r="Z339" i="5" s="1"/>
  <c r="AA339" i="5" s="1"/>
  <c r="W340" i="5"/>
  <c r="Y340" i="5" s="1"/>
  <c r="Z340" i="5" s="1"/>
  <c r="AA340" i="5" s="1"/>
  <c r="W341" i="5"/>
  <c r="Y341" i="5" s="1"/>
  <c r="Z341" i="5" s="1"/>
  <c r="AA341" i="5" s="1"/>
  <c r="W342" i="5"/>
  <c r="Y342" i="5" s="1"/>
  <c r="Z342" i="5" s="1"/>
  <c r="AA342" i="5" s="1"/>
  <c r="W343" i="5"/>
  <c r="Y343" i="5" s="1"/>
  <c r="Z343" i="5" s="1"/>
  <c r="AA343" i="5" s="1"/>
  <c r="W344" i="5"/>
  <c r="Y344" i="5" s="1"/>
  <c r="Z344" i="5" s="1"/>
  <c r="AA344" i="5" s="1"/>
  <c r="W345" i="5"/>
  <c r="Y345" i="5" s="1"/>
  <c r="Z345" i="5" s="1"/>
  <c r="AA345" i="5" s="1"/>
  <c r="W346" i="5"/>
  <c r="Y346" i="5" s="1"/>
  <c r="Z346" i="5" s="1"/>
  <c r="AA346" i="5" s="1"/>
  <c r="W347" i="5"/>
  <c r="Y347" i="5" s="1"/>
  <c r="Z347" i="5" s="1"/>
  <c r="AA347" i="5" s="1"/>
  <c r="W348" i="5"/>
  <c r="Y348" i="5" s="1"/>
  <c r="Z348" i="5" s="1"/>
  <c r="AA348" i="5" s="1"/>
  <c r="W349" i="5"/>
  <c r="Y349" i="5" s="1"/>
  <c r="Z349" i="5" s="1"/>
  <c r="AA349" i="5" s="1"/>
  <c r="W350" i="5"/>
  <c r="Y350" i="5" s="1"/>
  <c r="Z350" i="5" s="1"/>
  <c r="AA350" i="5" s="1"/>
  <c r="W351" i="5"/>
  <c r="Y351" i="5" s="1"/>
  <c r="Z351" i="5" s="1"/>
  <c r="AA351" i="5" s="1"/>
  <c r="W352" i="5"/>
  <c r="Y352" i="5" s="1"/>
  <c r="Z352" i="5" s="1"/>
  <c r="AA352" i="5" s="1"/>
  <c r="W353" i="5"/>
  <c r="Y353" i="5" s="1"/>
  <c r="Z353" i="5" s="1"/>
  <c r="AA353" i="5" s="1"/>
  <c r="W354" i="5"/>
  <c r="Y354" i="5" s="1"/>
  <c r="Z354" i="5" s="1"/>
  <c r="AA354" i="5" s="1"/>
  <c r="W355" i="5"/>
  <c r="Y355" i="5" s="1"/>
  <c r="Z355" i="5" s="1"/>
  <c r="AA355" i="5" s="1"/>
  <c r="W356" i="5"/>
  <c r="Y356" i="5" s="1"/>
  <c r="Z356" i="5" s="1"/>
  <c r="AA356" i="5" s="1"/>
  <c r="W357" i="5"/>
  <c r="Y357" i="5" s="1"/>
  <c r="Z357" i="5" s="1"/>
  <c r="AA357" i="5" s="1"/>
  <c r="W358" i="5"/>
  <c r="Y358" i="5" s="1"/>
  <c r="Z358" i="5" s="1"/>
  <c r="AA358" i="5" s="1"/>
  <c r="W359" i="5"/>
  <c r="Y359" i="5" s="1"/>
  <c r="Z359" i="5" s="1"/>
  <c r="AA359" i="5" s="1"/>
  <c r="W360" i="5"/>
  <c r="Y360" i="5" s="1"/>
  <c r="Z360" i="5" s="1"/>
  <c r="AA360" i="5" s="1"/>
  <c r="W361" i="5"/>
  <c r="Y361" i="5" s="1"/>
  <c r="Z361" i="5" s="1"/>
  <c r="AA361" i="5" s="1"/>
  <c r="W362" i="5"/>
  <c r="Y362" i="5" s="1"/>
  <c r="Z362" i="5" s="1"/>
  <c r="AA362" i="5" s="1"/>
  <c r="W363" i="5"/>
  <c r="Y363" i="5" s="1"/>
  <c r="Z363" i="5" s="1"/>
  <c r="AA363" i="5" s="1"/>
  <c r="W364" i="5"/>
  <c r="Y364" i="5" s="1"/>
  <c r="Z364" i="5" s="1"/>
  <c r="AA364" i="5" s="1"/>
  <c r="W365" i="5"/>
  <c r="Y365" i="5" s="1"/>
  <c r="Z365" i="5" s="1"/>
  <c r="AA365" i="5" s="1"/>
  <c r="W366" i="5"/>
  <c r="Y366" i="5" s="1"/>
  <c r="Z366" i="5" s="1"/>
  <c r="AA366" i="5" s="1"/>
  <c r="W367" i="5"/>
  <c r="Y367" i="5" s="1"/>
  <c r="Z367" i="5" s="1"/>
  <c r="AA367" i="5" s="1"/>
  <c r="W368" i="5"/>
  <c r="Y368" i="5" s="1"/>
  <c r="Z368" i="5" s="1"/>
  <c r="AA368" i="5" s="1"/>
  <c r="W369" i="5"/>
  <c r="Y369" i="5" s="1"/>
  <c r="Z369" i="5" s="1"/>
  <c r="AA369" i="5" s="1"/>
  <c r="W370" i="5"/>
  <c r="Y370" i="5" s="1"/>
  <c r="Z370" i="5" s="1"/>
  <c r="AA370" i="5" s="1"/>
  <c r="W371" i="5"/>
  <c r="Y371" i="5" s="1"/>
  <c r="Z371" i="5" s="1"/>
  <c r="AA371" i="5" s="1"/>
  <c r="W372" i="5"/>
  <c r="Y372" i="5" s="1"/>
  <c r="Z372" i="5" s="1"/>
  <c r="AA372" i="5" s="1"/>
  <c r="W373" i="5"/>
  <c r="Y373" i="5" s="1"/>
  <c r="Z373" i="5" s="1"/>
  <c r="AA373" i="5" s="1"/>
  <c r="W374" i="5"/>
  <c r="Y374" i="5" s="1"/>
  <c r="Z374" i="5" s="1"/>
  <c r="AA374" i="5" s="1"/>
  <c r="W375" i="5"/>
  <c r="Y375" i="5" s="1"/>
  <c r="Z375" i="5" s="1"/>
  <c r="AA375" i="5" s="1"/>
  <c r="W376" i="5"/>
  <c r="Y376" i="5" s="1"/>
  <c r="Z376" i="5" s="1"/>
  <c r="AA376" i="5" s="1"/>
  <c r="W377" i="5"/>
  <c r="Y377" i="5" s="1"/>
  <c r="Z377" i="5" s="1"/>
  <c r="AA377" i="5" s="1"/>
  <c r="W378" i="5"/>
  <c r="Y378" i="5" s="1"/>
  <c r="Z378" i="5" s="1"/>
  <c r="AA378" i="5" s="1"/>
  <c r="W379" i="5"/>
  <c r="Y379" i="5" s="1"/>
  <c r="Z379" i="5" s="1"/>
  <c r="AA379" i="5" s="1"/>
  <c r="W380" i="5"/>
  <c r="Y380" i="5" s="1"/>
  <c r="Z380" i="5" s="1"/>
  <c r="AA380" i="5" s="1"/>
  <c r="W381" i="5"/>
  <c r="Y381" i="5" s="1"/>
  <c r="Z381" i="5" s="1"/>
  <c r="AA381" i="5" s="1"/>
  <c r="W382" i="5"/>
  <c r="Y382" i="5" s="1"/>
  <c r="Z382" i="5" s="1"/>
  <c r="AA382" i="5" s="1"/>
  <c r="W383" i="5"/>
  <c r="Y383" i="5" s="1"/>
  <c r="Z383" i="5" s="1"/>
  <c r="AA383" i="5" s="1"/>
  <c r="W384" i="5"/>
  <c r="Y384" i="5" s="1"/>
  <c r="Z384" i="5" s="1"/>
  <c r="AA384" i="5" s="1"/>
  <c r="W385" i="5"/>
  <c r="Y385" i="5" s="1"/>
  <c r="Z385" i="5" s="1"/>
  <c r="AA385" i="5" s="1"/>
  <c r="W386" i="5"/>
  <c r="Y386" i="5" s="1"/>
  <c r="Z386" i="5" s="1"/>
  <c r="AA386" i="5" s="1"/>
  <c r="W387" i="5"/>
  <c r="Y387" i="5" s="1"/>
  <c r="Z387" i="5" s="1"/>
  <c r="AA387" i="5" s="1"/>
  <c r="W388" i="5"/>
  <c r="Y388" i="5" s="1"/>
  <c r="Z388" i="5" s="1"/>
  <c r="AA388" i="5" s="1"/>
  <c r="W389" i="5"/>
  <c r="Y389" i="5" s="1"/>
  <c r="Z389" i="5" s="1"/>
  <c r="AA389" i="5" s="1"/>
  <c r="W390" i="5"/>
  <c r="Y390" i="5" s="1"/>
  <c r="Z390" i="5" s="1"/>
  <c r="AA390" i="5" s="1"/>
  <c r="W391" i="5"/>
  <c r="Y391" i="5" s="1"/>
  <c r="Z391" i="5" s="1"/>
  <c r="AA391" i="5" s="1"/>
  <c r="W392" i="5"/>
  <c r="Y392" i="5" s="1"/>
  <c r="Z392" i="5" s="1"/>
  <c r="AA392" i="5" s="1"/>
  <c r="W393" i="5"/>
  <c r="Y393" i="5" s="1"/>
  <c r="Z393" i="5" s="1"/>
  <c r="AA393" i="5" s="1"/>
  <c r="W394" i="5"/>
  <c r="Y394" i="5" s="1"/>
  <c r="Z394" i="5" s="1"/>
  <c r="AA394" i="5" s="1"/>
  <c r="W395" i="5"/>
  <c r="Y395" i="5" s="1"/>
  <c r="Z395" i="5" s="1"/>
  <c r="AA395" i="5" s="1"/>
  <c r="W396" i="5"/>
  <c r="Y396" i="5" s="1"/>
  <c r="Z396" i="5" s="1"/>
  <c r="AA396" i="5" s="1"/>
  <c r="W397" i="5"/>
  <c r="Y397" i="5" s="1"/>
  <c r="Z397" i="5" s="1"/>
  <c r="AA397" i="5" s="1"/>
  <c r="W398" i="5"/>
  <c r="Y398" i="5" s="1"/>
  <c r="Z398" i="5" s="1"/>
  <c r="AA398" i="5" s="1"/>
  <c r="W399" i="5"/>
  <c r="Y399" i="5" s="1"/>
  <c r="Z399" i="5" s="1"/>
  <c r="AA399" i="5" s="1"/>
  <c r="W400" i="5"/>
  <c r="Y400" i="5" s="1"/>
  <c r="Z400" i="5" s="1"/>
  <c r="AA400" i="5" s="1"/>
  <c r="W401" i="5"/>
  <c r="Y401" i="5" s="1"/>
  <c r="Z401" i="5" s="1"/>
  <c r="AA401" i="5" s="1"/>
  <c r="W402" i="5"/>
  <c r="Y402" i="5" s="1"/>
  <c r="Z402" i="5" s="1"/>
  <c r="AA402" i="5" s="1"/>
  <c r="W403" i="5"/>
  <c r="Y403" i="5" s="1"/>
  <c r="Z403" i="5" s="1"/>
  <c r="AA403" i="5" s="1"/>
  <c r="W404" i="5"/>
  <c r="Y404" i="5" s="1"/>
  <c r="Z404" i="5" s="1"/>
  <c r="AA404" i="5" s="1"/>
  <c r="W405" i="5"/>
  <c r="Y405" i="5" s="1"/>
  <c r="Z405" i="5" s="1"/>
  <c r="AA405" i="5" s="1"/>
  <c r="W406" i="5"/>
  <c r="Y406" i="5" s="1"/>
  <c r="Z406" i="5" s="1"/>
  <c r="AA406" i="5" s="1"/>
  <c r="W407" i="5"/>
  <c r="Y407" i="5" s="1"/>
  <c r="Z407" i="5" s="1"/>
  <c r="AA407" i="5" s="1"/>
  <c r="W408" i="5"/>
  <c r="Y408" i="5" s="1"/>
  <c r="Z408" i="5" s="1"/>
  <c r="AA408" i="5" s="1"/>
  <c r="W409" i="5"/>
  <c r="Y409" i="5" s="1"/>
  <c r="Z409" i="5" s="1"/>
  <c r="AA409" i="5" s="1"/>
  <c r="W410" i="5"/>
  <c r="Y410" i="5" s="1"/>
  <c r="Z410" i="5" s="1"/>
  <c r="AA410" i="5" s="1"/>
  <c r="W411" i="5"/>
  <c r="Y411" i="5" s="1"/>
  <c r="Z411" i="5" s="1"/>
  <c r="AA411" i="5" s="1"/>
  <c r="W412" i="5"/>
  <c r="Y412" i="5" s="1"/>
  <c r="Z412" i="5" s="1"/>
  <c r="AA412" i="5" s="1"/>
  <c r="W413" i="5"/>
  <c r="Y413" i="5" s="1"/>
  <c r="Z413" i="5" s="1"/>
  <c r="AA413" i="5" s="1"/>
  <c r="W414" i="5"/>
  <c r="Y414" i="5" s="1"/>
  <c r="Z414" i="5" s="1"/>
  <c r="AA414" i="5" s="1"/>
  <c r="W415" i="5"/>
  <c r="Y415" i="5" s="1"/>
  <c r="Z415" i="5" s="1"/>
  <c r="AA415" i="5" s="1"/>
  <c r="W416" i="5"/>
  <c r="Y416" i="5" s="1"/>
  <c r="Z416" i="5" s="1"/>
  <c r="AA416" i="5" s="1"/>
  <c r="W417" i="5"/>
  <c r="Y417" i="5" s="1"/>
  <c r="Z417" i="5" s="1"/>
  <c r="AA417" i="5" s="1"/>
  <c r="W418" i="5"/>
  <c r="Y418" i="5" s="1"/>
  <c r="Z418" i="5" s="1"/>
  <c r="AA418" i="5" s="1"/>
  <c r="W419" i="5"/>
  <c r="Y419" i="5" s="1"/>
  <c r="Z419" i="5" s="1"/>
  <c r="AA419" i="5" s="1"/>
  <c r="W420" i="5"/>
  <c r="Y420" i="5" s="1"/>
  <c r="Z420" i="5" s="1"/>
  <c r="AA420" i="5" s="1"/>
  <c r="W421" i="5"/>
  <c r="Y421" i="5" s="1"/>
  <c r="Z421" i="5" s="1"/>
  <c r="AA421" i="5" s="1"/>
  <c r="W422" i="5"/>
  <c r="Y422" i="5" s="1"/>
  <c r="Z422" i="5" s="1"/>
  <c r="AA422" i="5" s="1"/>
  <c r="W423" i="5"/>
  <c r="Y423" i="5" s="1"/>
  <c r="Z423" i="5" s="1"/>
  <c r="AA423" i="5" s="1"/>
  <c r="W424" i="5"/>
  <c r="Y424" i="5" s="1"/>
  <c r="Z424" i="5" s="1"/>
  <c r="AA424" i="5" s="1"/>
  <c r="W425" i="5"/>
  <c r="Y425" i="5" s="1"/>
  <c r="Z425" i="5" s="1"/>
  <c r="AA425" i="5" s="1"/>
  <c r="W426" i="5"/>
  <c r="Y426" i="5" s="1"/>
  <c r="Z426" i="5" s="1"/>
  <c r="AA426" i="5" s="1"/>
  <c r="W427" i="5"/>
  <c r="Y427" i="5" s="1"/>
  <c r="Z427" i="5" s="1"/>
  <c r="AA427" i="5" s="1"/>
  <c r="W428" i="5"/>
  <c r="Y428" i="5" s="1"/>
  <c r="Z428" i="5" s="1"/>
  <c r="AA428" i="5" s="1"/>
  <c r="W429" i="5"/>
  <c r="Y429" i="5" s="1"/>
  <c r="Z429" i="5" s="1"/>
  <c r="AA429" i="5" s="1"/>
  <c r="W430" i="5"/>
  <c r="Y430" i="5" s="1"/>
  <c r="Z430" i="5" s="1"/>
  <c r="AA430" i="5" s="1"/>
  <c r="W431" i="5"/>
  <c r="Y431" i="5" s="1"/>
  <c r="Z431" i="5" s="1"/>
  <c r="AA431" i="5" s="1"/>
  <c r="W432" i="5"/>
  <c r="Y432" i="5" s="1"/>
  <c r="Z432" i="5" s="1"/>
  <c r="AA432" i="5" s="1"/>
  <c r="W433" i="5"/>
  <c r="Y433" i="5" s="1"/>
  <c r="Z433" i="5" s="1"/>
  <c r="AA433" i="5" s="1"/>
  <c r="W434" i="5"/>
  <c r="Y434" i="5" s="1"/>
  <c r="Z434" i="5" s="1"/>
  <c r="AA434" i="5" s="1"/>
  <c r="W435" i="5"/>
  <c r="Y435" i="5" s="1"/>
  <c r="Z435" i="5" s="1"/>
  <c r="AA435" i="5" s="1"/>
  <c r="W436" i="5"/>
  <c r="Y436" i="5" s="1"/>
  <c r="Z436" i="5" s="1"/>
  <c r="AA436" i="5" s="1"/>
  <c r="W437" i="5"/>
  <c r="Y437" i="5" s="1"/>
  <c r="Z437" i="5" s="1"/>
  <c r="AA437" i="5" s="1"/>
  <c r="W438" i="5"/>
  <c r="Y438" i="5" s="1"/>
  <c r="Z438" i="5" s="1"/>
  <c r="AA438" i="5" s="1"/>
  <c r="W439" i="5"/>
  <c r="Y439" i="5" s="1"/>
  <c r="Z439" i="5" s="1"/>
  <c r="AA439" i="5" s="1"/>
  <c r="W440" i="5"/>
  <c r="Y440" i="5" s="1"/>
  <c r="Z440" i="5" s="1"/>
  <c r="AA440" i="5" s="1"/>
  <c r="W441" i="5"/>
  <c r="Y441" i="5" s="1"/>
  <c r="Z441" i="5" s="1"/>
  <c r="AA441" i="5" s="1"/>
  <c r="W442" i="5"/>
  <c r="Y442" i="5" s="1"/>
  <c r="Z442" i="5" s="1"/>
  <c r="AA442" i="5" s="1"/>
  <c r="W443" i="5"/>
  <c r="Y443" i="5" s="1"/>
  <c r="Z443" i="5" s="1"/>
  <c r="AA443" i="5" s="1"/>
  <c r="W444" i="5"/>
  <c r="Y444" i="5" s="1"/>
  <c r="Z444" i="5" s="1"/>
  <c r="AA444" i="5" s="1"/>
  <c r="W445" i="5"/>
  <c r="Y445" i="5" s="1"/>
  <c r="Z445" i="5" s="1"/>
  <c r="AA445" i="5" s="1"/>
  <c r="W446" i="5"/>
  <c r="Y446" i="5" s="1"/>
  <c r="Z446" i="5" s="1"/>
  <c r="AA446" i="5" s="1"/>
  <c r="W447" i="5"/>
  <c r="Y447" i="5" s="1"/>
  <c r="Z447" i="5" s="1"/>
  <c r="AA447" i="5" s="1"/>
  <c r="W448" i="5"/>
  <c r="Y448" i="5" s="1"/>
  <c r="Z448" i="5" s="1"/>
  <c r="AA448" i="5" s="1"/>
  <c r="W449" i="5"/>
  <c r="Y449" i="5" s="1"/>
  <c r="Z449" i="5" s="1"/>
  <c r="AA449" i="5" s="1"/>
  <c r="W450" i="5"/>
  <c r="Y450" i="5" s="1"/>
  <c r="Z450" i="5" s="1"/>
  <c r="AA450" i="5" s="1"/>
  <c r="W451" i="5"/>
  <c r="Y451" i="5" s="1"/>
  <c r="Z451" i="5" s="1"/>
  <c r="AA451" i="5" s="1"/>
  <c r="W452" i="5"/>
  <c r="Y452" i="5" s="1"/>
  <c r="Z452" i="5" s="1"/>
  <c r="AA452" i="5" s="1"/>
  <c r="W453" i="5"/>
  <c r="Y453" i="5" s="1"/>
  <c r="Z453" i="5" s="1"/>
  <c r="AA453" i="5" s="1"/>
  <c r="W454" i="5"/>
  <c r="Y454" i="5" s="1"/>
  <c r="Z454" i="5" s="1"/>
  <c r="AA454" i="5" s="1"/>
  <c r="W455" i="5"/>
  <c r="Y455" i="5" s="1"/>
  <c r="Z455" i="5" s="1"/>
  <c r="AA455" i="5" s="1"/>
  <c r="W456" i="5"/>
  <c r="Y456" i="5" s="1"/>
  <c r="Z456" i="5" s="1"/>
  <c r="AA456" i="5" s="1"/>
  <c r="W457" i="5"/>
  <c r="Y457" i="5" s="1"/>
  <c r="Z457" i="5" s="1"/>
  <c r="AA457" i="5" s="1"/>
  <c r="W458" i="5"/>
  <c r="Y458" i="5" s="1"/>
  <c r="Z458" i="5" s="1"/>
  <c r="AA458" i="5" s="1"/>
  <c r="W459" i="5"/>
  <c r="Y459" i="5" s="1"/>
  <c r="Z459" i="5" s="1"/>
  <c r="AA459" i="5" s="1"/>
  <c r="W460" i="5"/>
  <c r="Y460" i="5" s="1"/>
  <c r="Z460" i="5" s="1"/>
  <c r="AA460" i="5" s="1"/>
  <c r="W461" i="5"/>
  <c r="Y461" i="5" s="1"/>
  <c r="Z461" i="5" s="1"/>
  <c r="AA461" i="5" s="1"/>
  <c r="W462" i="5"/>
  <c r="Y462" i="5" s="1"/>
  <c r="Z462" i="5" s="1"/>
  <c r="AA462" i="5" s="1"/>
  <c r="W463" i="5"/>
  <c r="Y463" i="5" s="1"/>
  <c r="Z463" i="5" s="1"/>
  <c r="AA463" i="5" s="1"/>
  <c r="W464" i="5"/>
  <c r="Y464" i="5" s="1"/>
  <c r="Z464" i="5" s="1"/>
  <c r="AA464" i="5" s="1"/>
  <c r="W465" i="5"/>
  <c r="Y465" i="5" s="1"/>
  <c r="Z465" i="5" s="1"/>
  <c r="AA465" i="5" s="1"/>
  <c r="W466" i="5"/>
  <c r="Y466" i="5" s="1"/>
  <c r="Z466" i="5" s="1"/>
  <c r="AA466" i="5" s="1"/>
  <c r="W467" i="5"/>
  <c r="Y467" i="5" s="1"/>
  <c r="Z467" i="5" s="1"/>
  <c r="AA467" i="5" s="1"/>
  <c r="W468" i="5"/>
  <c r="Y468" i="5" s="1"/>
  <c r="Z468" i="5" s="1"/>
  <c r="AA468" i="5" s="1"/>
  <c r="W469" i="5"/>
  <c r="Y469" i="5" s="1"/>
  <c r="Z469" i="5" s="1"/>
  <c r="AA469" i="5" s="1"/>
  <c r="W470" i="5"/>
  <c r="Y470" i="5" s="1"/>
  <c r="Z470" i="5" s="1"/>
  <c r="AA470" i="5" s="1"/>
  <c r="W471" i="5"/>
  <c r="Y471" i="5" s="1"/>
  <c r="Z471" i="5" s="1"/>
  <c r="AA471" i="5" s="1"/>
  <c r="W472" i="5"/>
  <c r="Y472" i="5" s="1"/>
  <c r="Z472" i="5" s="1"/>
  <c r="AA472" i="5" s="1"/>
  <c r="W473" i="5"/>
  <c r="Y473" i="5" s="1"/>
  <c r="Z473" i="5" s="1"/>
  <c r="AA473" i="5" s="1"/>
  <c r="W474" i="5"/>
  <c r="Y474" i="5" s="1"/>
  <c r="Z474" i="5" s="1"/>
  <c r="AA474" i="5" s="1"/>
  <c r="W475" i="5"/>
  <c r="Y475" i="5" s="1"/>
  <c r="Z475" i="5" s="1"/>
  <c r="AA475" i="5" s="1"/>
  <c r="W476" i="5"/>
  <c r="Y476" i="5" s="1"/>
  <c r="Z476" i="5" s="1"/>
  <c r="AA476" i="5" s="1"/>
  <c r="W477" i="5"/>
  <c r="Y477" i="5" s="1"/>
  <c r="Z477" i="5" s="1"/>
  <c r="AA477" i="5" s="1"/>
  <c r="W478" i="5"/>
  <c r="Y478" i="5" s="1"/>
  <c r="Z478" i="5" s="1"/>
  <c r="AA478" i="5" s="1"/>
  <c r="W479" i="5"/>
  <c r="Y479" i="5" s="1"/>
  <c r="Z479" i="5" s="1"/>
  <c r="AA479" i="5" s="1"/>
  <c r="W480" i="5"/>
  <c r="Y480" i="5" s="1"/>
  <c r="Z480" i="5" s="1"/>
  <c r="AA480" i="5" s="1"/>
  <c r="W481" i="5"/>
  <c r="Y481" i="5" s="1"/>
  <c r="Z481" i="5" s="1"/>
  <c r="AA481" i="5" s="1"/>
  <c r="W482" i="5"/>
  <c r="Y482" i="5" s="1"/>
  <c r="Z482" i="5" s="1"/>
  <c r="AA482" i="5" s="1"/>
  <c r="W483" i="5"/>
  <c r="Y483" i="5" s="1"/>
  <c r="Z483" i="5" s="1"/>
  <c r="AA483" i="5" s="1"/>
  <c r="W484" i="5"/>
  <c r="Y484" i="5" s="1"/>
  <c r="Z484" i="5" s="1"/>
  <c r="AA484" i="5" s="1"/>
  <c r="W485" i="5"/>
  <c r="Y485" i="5" s="1"/>
  <c r="Z485" i="5" s="1"/>
  <c r="AA485" i="5" s="1"/>
  <c r="W486" i="5"/>
  <c r="Y486" i="5" s="1"/>
  <c r="Z486" i="5" s="1"/>
  <c r="AA486" i="5" s="1"/>
  <c r="W487" i="5"/>
  <c r="Y487" i="5" s="1"/>
  <c r="Z487" i="5" s="1"/>
  <c r="AA487" i="5" s="1"/>
  <c r="W488" i="5"/>
  <c r="Y488" i="5" s="1"/>
  <c r="Z488" i="5" s="1"/>
  <c r="AA488" i="5" s="1"/>
  <c r="W489" i="5"/>
  <c r="Y489" i="5" s="1"/>
  <c r="Z489" i="5" s="1"/>
  <c r="AA489" i="5" s="1"/>
  <c r="W490" i="5"/>
  <c r="Y490" i="5" s="1"/>
  <c r="Z490" i="5" s="1"/>
  <c r="AA490" i="5" s="1"/>
  <c r="W491" i="5"/>
  <c r="Y491" i="5" s="1"/>
  <c r="Z491" i="5" s="1"/>
  <c r="AA491" i="5" s="1"/>
  <c r="W492" i="5"/>
  <c r="Y492" i="5" s="1"/>
  <c r="Z492" i="5" s="1"/>
  <c r="AA492" i="5" s="1"/>
  <c r="W493" i="5"/>
  <c r="Y493" i="5" s="1"/>
  <c r="Z493" i="5" s="1"/>
  <c r="AA493" i="5" s="1"/>
  <c r="W494" i="5"/>
  <c r="Y494" i="5" s="1"/>
  <c r="Z494" i="5" s="1"/>
  <c r="AA494" i="5" s="1"/>
  <c r="W495" i="5"/>
  <c r="Y495" i="5" s="1"/>
  <c r="Z495" i="5" s="1"/>
  <c r="AA495" i="5" s="1"/>
  <c r="W496" i="5"/>
  <c r="Y496" i="5" s="1"/>
  <c r="Z496" i="5" s="1"/>
  <c r="AA496" i="5" s="1"/>
  <c r="W497" i="5"/>
  <c r="Y497" i="5" s="1"/>
  <c r="Z497" i="5" s="1"/>
  <c r="AA497" i="5" s="1"/>
  <c r="W498" i="5"/>
  <c r="Y498" i="5" s="1"/>
  <c r="Z498" i="5" s="1"/>
  <c r="AA498" i="5" s="1"/>
  <c r="W499" i="5"/>
  <c r="Y499" i="5" s="1"/>
  <c r="Z499" i="5" s="1"/>
  <c r="AA499" i="5" s="1"/>
  <c r="W500" i="5"/>
  <c r="Y500" i="5" s="1"/>
  <c r="Z500" i="5" s="1"/>
  <c r="AA500" i="5" s="1"/>
  <c r="W501" i="5"/>
  <c r="Y501" i="5" s="1"/>
  <c r="Z501" i="5" s="1"/>
  <c r="AA501" i="5" s="1"/>
  <c r="W502" i="5"/>
  <c r="Y502" i="5" s="1"/>
  <c r="Z502" i="5" s="1"/>
  <c r="AA502" i="5" s="1"/>
  <c r="W503" i="5"/>
  <c r="Y503" i="5" s="1"/>
  <c r="Z503" i="5" s="1"/>
  <c r="AA503" i="5" s="1"/>
  <c r="W504" i="5"/>
  <c r="Y504" i="5" s="1"/>
  <c r="Z504" i="5" s="1"/>
  <c r="AA504" i="5" s="1"/>
  <c r="W505" i="5"/>
  <c r="Y505" i="5" s="1"/>
  <c r="Z505" i="5" s="1"/>
  <c r="AA505" i="5" s="1"/>
  <c r="W506" i="5"/>
  <c r="Y506" i="5" s="1"/>
  <c r="Z506" i="5" s="1"/>
  <c r="AA506" i="5" s="1"/>
  <c r="W507" i="5"/>
  <c r="Y507" i="5" s="1"/>
  <c r="Z507" i="5" s="1"/>
  <c r="AA507" i="5" s="1"/>
  <c r="W508" i="5"/>
  <c r="Y508" i="5" s="1"/>
  <c r="Z508" i="5" s="1"/>
  <c r="AA508" i="5" s="1"/>
  <c r="W509" i="5"/>
  <c r="Y509" i="5" s="1"/>
  <c r="Z509" i="5" s="1"/>
  <c r="AA509" i="5" s="1"/>
  <c r="W510" i="5"/>
  <c r="Y510" i="5" s="1"/>
  <c r="Z510" i="5" s="1"/>
  <c r="AA510" i="5" s="1"/>
  <c r="W511" i="5"/>
  <c r="Y511" i="5" s="1"/>
  <c r="Z511" i="5" s="1"/>
  <c r="AA511" i="5" s="1"/>
  <c r="W512" i="5"/>
  <c r="Y512" i="5" s="1"/>
  <c r="Z512" i="5" s="1"/>
  <c r="AA512" i="5" s="1"/>
  <c r="W513" i="5"/>
  <c r="Y513" i="5" s="1"/>
  <c r="Z513" i="5" s="1"/>
  <c r="AA513" i="5" s="1"/>
  <c r="W514" i="5"/>
  <c r="Y514" i="5" s="1"/>
  <c r="Z514" i="5" s="1"/>
  <c r="AA514" i="5" s="1"/>
  <c r="W515" i="5"/>
  <c r="Y515" i="5" s="1"/>
  <c r="Z515" i="5" s="1"/>
  <c r="AA515" i="5" s="1"/>
  <c r="W516" i="5"/>
  <c r="Y516" i="5" s="1"/>
  <c r="Z516" i="5" s="1"/>
  <c r="AA516" i="5" s="1"/>
  <c r="W517" i="5"/>
  <c r="Y517" i="5" s="1"/>
  <c r="Z517" i="5" s="1"/>
  <c r="AA517" i="5" s="1"/>
  <c r="W518" i="5"/>
  <c r="Y518" i="5" s="1"/>
  <c r="Z518" i="5" s="1"/>
  <c r="AA518" i="5" s="1"/>
  <c r="W519" i="5"/>
  <c r="Y519" i="5" s="1"/>
  <c r="Z519" i="5" s="1"/>
  <c r="AA519" i="5" s="1"/>
  <c r="W520" i="5"/>
  <c r="Y520" i="5" s="1"/>
  <c r="Z520" i="5" s="1"/>
  <c r="AA520" i="5" s="1"/>
  <c r="W521" i="5"/>
  <c r="Y521" i="5" s="1"/>
  <c r="Z521" i="5" s="1"/>
  <c r="AA521" i="5" s="1"/>
  <c r="W522" i="5"/>
  <c r="Y522" i="5" s="1"/>
  <c r="Z522" i="5" s="1"/>
  <c r="AA522" i="5" s="1"/>
  <c r="W523" i="5"/>
  <c r="Y523" i="5" s="1"/>
  <c r="Z523" i="5" s="1"/>
  <c r="AA523" i="5" s="1"/>
  <c r="W524" i="5"/>
  <c r="Y524" i="5" s="1"/>
  <c r="Z524" i="5" s="1"/>
  <c r="AA524" i="5" s="1"/>
  <c r="W525" i="5"/>
  <c r="Y525" i="5" s="1"/>
  <c r="Z525" i="5" s="1"/>
  <c r="AA525" i="5" s="1"/>
  <c r="W526" i="5"/>
  <c r="Y526" i="5" s="1"/>
  <c r="Z526" i="5" s="1"/>
  <c r="AA526" i="5" s="1"/>
  <c r="W527" i="5"/>
  <c r="Y527" i="5" s="1"/>
  <c r="Z527" i="5" s="1"/>
  <c r="AA527" i="5" s="1"/>
  <c r="W528" i="5"/>
  <c r="Y528" i="5" s="1"/>
  <c r="Z528" i="5" s="1"/>
  <c r="AA528" i="5" s="1"/>
  <c r="W529" i="5"/>
  <c r="Y529" i="5" s="1"/>
  <c r="Z529" i="5" s="1"/>
  <c r="AA529" i="5" s="1"/>
  <c r="W530" i="5"/>
  <c r="Y530" i="5" s="1"/>
  <c r="Z530" i="5" s="1"/>
  <c r="AA530" i="5" s="1"/>
  <c r="W531" i="5"/>
  <c r="Y531" i="5" s="1"/>
  <c r="Z531" i="5" s="1"/>
  <c r="AA531" i="5" s="1"/>
  <c r="W532" i="5"/>
  <c r="Y532" i="5" s="1"/>
  <c r="Z532" i="5" s="1"/>
  <c r="AA532" i="5" s="1"/>
  <c r="W533" i="5"/>
  <c r="Y533" i="5" s="1"/>
  <c r="Z533" i="5" s="1"/>
  <c r="AA533" i="5" s="1"/>
  <c r="W534" i="5"/>
  <c r="Y534" i="5" s="1"/>
  <c r="Z534" i="5" s="1"/>
  <c r="AA534" i="5" s="1"/>
  <c r="W535" i="5"/>
  <c r="Y535" i="5" s="1"/>
  <c r="Z535" i="5" s="1"/>
  <c r="AA535" i="5" s="1"/>
  <c r="W536" i="5"/>
  <c r="Y536" i="5" s="1"/>
  <c r="Z536" i="5" s="1"/>
  <c r="AA536" i="5" s="1"/>
  <c r="W537" i="5"/>
  <c r="Y537" i="5" s="1"/>
  <c r="Z537" i="5" s="1"/>
  <c r="AA537" i="5" s="1"/>
  <c r="W538" i="5"/>
  <c r="Y538" i="5" s="1"/>
  <c r="Z538" i="5" s="1"/>
  <c r="AA538" i="5" s="1"/>
  <c r="W539" i="5"/>
  <c r="Y539" i="5" s="1"/>
  <c r="Z539" i="5" s="1"/>
  <c r="AA539" i="5" s="1"/>
  <c r="W540" i="5"/>
  <c r="Y540" i="5" s="1"/>
  <c r="Z540" i="5" s="1"/>
  <c r="AA540" i="5" s="1"/>
  <c r="W541" i="5"/>
  <c r="Y541" i="5" s="1"/>
  <c r="Z541" i="5" s="1"/>
  <c r="AA541" i="5" s="1"/>
  <c r="W542" i="5"/>
  <c r="Y542" i="5" s="1"/>
  <c r="Z542" i="5" s="1"/>
  <c r="AA542" i="5" s="1"/>
  <c r="W543" i="5"/>
  <c r="Y543" i="5" s="1"/>
  <c r="Z543" i="5" s="1"/>
  <c r="AA543" i="5" s="1"/>
  <c r="W544" i="5"/>
  <c r="Y544" i="5" s="1"/>
  <c r="Z544" i="5" s="1"/>
  <c r="AA544" i="5" s="1"/>
  <c r="W545" i="5"/>
  <c r="Y545" i="5" s="1"/>
  <c r="Z545" i="5" s="1"/>
  <c r="AA545" i="5" s="1"/>
  <c r="W546" i="5"/>
  <c r="Y546" i="5" s="1"/>
  <c r="Z546" i="5" s="1"/>
  <c r="AA546" i="5" s="1"/>
  <c r="W547" i="5"/>
  <c r="Y547" i="5" s="1"/>
  <c r="Z547" i="5" s="1"/>
  <c r="AA547" i="5" s="1"/>
  <c r="W548" i="5"/>
  <c r="Y548" i="5" s="1"/>
  <c r="Z548" i="5" s="1"/>
  <c r="AA548" i="5" s="1"/>
  <c r="W549" i="5"/>
  <c r="Y549" i="5" s="1"/>
  <c r="Z549" i="5" s="1"/>
  <c r="AA549" i="5" s="1"/>
  <c r="W550" i="5"/>
  <c r="Y550" i="5" s="1"/>
  <c r="Z550" i="5" s="1"/>
  <c r="AA550" i="5" s="1"/>
  <c r="W551" i="5"/>
  <c r="Y551" i="5" s="1"/>
  <c r="Z551" i="5" s="1"/>
  <c r="AA551" i="5" s="1"/>
  <c r="W552" i="5"/>
  <c r="Y552" i="5" s="1"/>
  <c r="Z552" i="5" s="1"/>
  <c r="AA552" i="5" s="1"/>
  <c r="W553" i="5"/>
  <c r="Y553" i="5" s="1"/>
  <c r="Z553" i="5" s="1"/>
  <c r="AA553" i="5" s="1"/>
  <c r="W554" i="5"/>
  <c r="Y554" i="5" s="1"/>
  <c r="Z554" i="5" s="1"/>
  <c r="AA554" i="5" s="1"/>
  <c r="W555" i="5"/>
  <c r="Y555" i="5" s="1"/>
  <c r="Z555" i="5" s="1"/>
  <c r="AA555" i="5" s="1"/>
  <c r="W556" i="5"/>
  <c r="Y556" i="5" s="1"/>
  <c r="Z556" i="5" s="1"/>
  <c r="AA556" i="5" s="1"/>
  <c r="W557" i="5"/>
  <c r="Y557" i="5" s="1"/>
  <c r="Z557" i="5" s="1"/>
  <c r="AA557" i="5" s="1"/>
  <c r="W558" i="5"/>
  <c r="Y558" i="5" s="1"/>
  <c r="Z558" i="5" s="1"/>
  <c r="AA558" i="5" s="1"/>
  <c r="W559" i="5"/>
  <c r="Y559" i="5" s="1"/>
  <c r="Z559" i="5" s="1"/>
  <c r="AA559" i="5" s="1"/>
  <c r="W560" i="5"/>
  <c r="Y560" i="5" s="1"/>
  <c r="Z560" i="5" s="1"/>
  <c r="AA560" i="5" s="1"/>
  <c r="W561" i="5"/>
  <c r="Y561" i="5" s="1"/>
  <c r="Z561" i="5" s="1"/>
  <c r="AA561" i="5" s="1"/>
  <c r="W562" i="5"/>
  <c r="Y562" i="5" s="1"/>
  <c r="Z562" i="5" s="1"/>
  <c r="AA562" i="5" s="1"/>
  <c r="W563" i="5"/>
  <c r="Y563" i="5" s="1"/>
  <c r="Z563" i="5" s="1"/>
  <c r="AA563" i="5" s="1"/>
  <c r="W564" i="5"/>
  <c r="Y564" i="5" s="1"/>
  <c r="Z564" i="5" s="1"/>
  <c r="AA564" i="5" s="1"/>
  <c r="W565" i="5"/>
  <c r="Y565" i="5" s="1"/>
  <c r="Z565" i="5" s="1"/>
  <c r="AA565" i="5" s="1"/>
  <c r="W566" i="5"/>
  <c r="Y566" i="5" s="1"/>
  <c r="Z566" i="5" s="1"/>
  <c r="AA566" i="5" s="1"/>
  <c r="W567" i="5"/>
  <c r="Y567" i="5" s="1"/>
  <c r="Z567" i="5" s="1"/>
  <c r="AA567" i="5" s="1"/>
  <c r="W568" i="5"/>
  <c r="Y568" i="5" s="1"/>
  <c r="Z568" i="5" s="1"/>
  <c r="AA568" i="5" s="1"/>
  <c r="W569" i="5"/>
  <c r="Y569" i="5" s="1"/>
  <c r="Z569" i="5" s="1"/>
  <c r="AA569" i="5" s="1"/>
  <c r="W570" i="5"/>
  <c r="Y570" i="5" s="1"/>
  <c r="Z570" i="5" s="1"/>
  <c r="AA570" i="5" s="1"/>
  <c r="W571" i="5"/>
  <c r="Y571" i="5" s="1"/>
  <c r="Z571" i="5" s="1"/>
  <c r="AA571" i="5" s="1"/>
  <c r="W572" i="5"/>
  <c r="Y572" i="5" s="1"/>
  <c r="Z572" i="5" s="1"/>
  <c r="AA572" i="5" s="1"/>
  <c r="W573" i="5"/>
  <c r="Y573" i="5" s="1"/>
  <c r="Z573" i="5" s="1"/>
  <c r="AA573" i="5" s="1"/>
  <c r="W574" i="5"/>
  <c r="Y574" i="5" s="1"/>
  <c r="Z574" i="5" s="1"/>
  <c r="AA574" i="5" s="1"/>
  <c r="W575" i="5"/>
  <c r="Y575" i="5" s="1"/>
  <c r="Z575" i="5" s="1"/>
  <c r="AA575" i="5" s="1"/>
  <c r="W576" i="5"/>
  <c r="Y576" i="5" s="1"/>
  <c r="Z576" i="5" s="1"/>
  <c r="AA576" i="5" s="1"/>
  <c r="W577" i="5"/>
  <c r="Y577" i="5" s="1"/>
  <c r="Z577" i="5" s="1"/>
  <c r="AA577" i="5" s="1"/>
  <c r="W578" i="5"/>
  <c r="Y578" i="5" s="1"/>
  <c r="Z578" i="5" s="1"/>
  <c r="AA578" i="5" s="1"/>
  <c r="W579" i="5"/>
  <c r="Y579" i="5" s="1"/>
  <c r="Z579" i="5" s="1"/>
  <c r="AA579" i="5" s="1"/>
  <c r="W580" i="5"/>
  <c r="Y580" i="5" s="1"/>
  <c r="Z580" i="5" s="1"/>
  <c r="AA580" i="5" s="1"/>
  <c r="W581" i="5"/>
  <c r="Y581" i="5" s="1"/>
  <c r="Z581" i="5" s="1"/>
  <c r="AA581" i="5" s="1"/>
  <c r="W582" i="5"/>
  <c r="Y582" i="5" s="1"/>
  <c r="Z582" i="5" s="1"/>
  <c r="AA582" i="5" s="1"/>
  <c r="W583" i="5"/>
  <c r="Y583" i="5" s="1"/>
  <c r="Z583" i="5" s="1"/>
  <c r="AA583" i="5" s="1"/>
  <c r="W584" i="5"/>
  <c r="Y584" i="5" s="1"/>
  <c r="Z584" i="5" s="1"/>
  <c r="AA584" i="5" s="1"/>
  <c r="W585" i="5"/>
  <c r="Y585" i="5" s="1"/>
  <c r="Z585" i="5" s="1"/>
  <c r="AA585" i="5" s="1"/>
  <c r="W586" i="5"/>
  <c r="Y586" i="5" s="1"/>
  <c r="Z586" i="5" s="1"/>
  <c r="AA586" i="5" s="1"/>
  <c r="W587" i="5"/>
  <c r="Y587" i="5" s="1"/>
  <c r="Z587" i="5" s="1"/>
  <c r="AA587" i="5" s="1"/>
  <c r="W588" i="5"/>
  <c r="Y588" i="5" s="1"/>
  <c r="Z588" i="5" s="1"/>
  <c r="AA588" i="5" s="1"/>
  <c r="W589" i="5"/>
  <c r="Y589" i="5" s="1"/>
  <c r="Z589" i="5" s="1"/>
  <c r="AA589" i="5" s="1"/>
  <c r="W590" i="5"/>
  <c r="Y590" i="5" s="1"/>
  <c r="Z590" i="5" s="1"/>
  <c r="AA590" i="5" s="1"/>
  <c r="W591" i="5"/>
  <c r="Y591" i="5" s="1"/>
  <c r="Z591" i="5" s="1"/>
  <c r="AA591" i="5" s="1"/>
  <c r="W592" i="5"/>
  <c r="Y592" i="5" s="1"/>
  <c r="Z592" i="5" s="1"/>
  <c r="AA592" i="5" s="1"/>
  <c r="W593" i="5"/>
  <c r="Y593" i="5" s="1"/>
  <c r="Z593" i="5" s="1"/>
  <c r="AA593" i="5" s="1"/>
  <c r="W594" i="5"/>
  <c r="Y594" i="5" s="1"/>
  <c r="Z594" i="5" s="1"/>
  <c r="AA594" i="5" s="1"/>
  <c r="W595" i="5"/>
  <c r="Y595" i="5" s="1"/>
  <c r="Z595" i="5" s="1"/>
  <c r="AA595" i="5" s="1"/>
  <c r="W596" i="5"/>
  <c r="Y596" i="5" s="1"/>
  <c r="Z596" i="5" s="1"/>
  <c r="AA596" i="5" s="1"/>
  <c r="W597" i="5"/>
  <c r="Y597" i="5" s="1"/>
  <c r="Z597" i="5" s="1"/>
  <c r="AA597" i="5" s="1"/>
  <c r="W598" i="5"/>
  <c r="Y598" i="5" s="1"/>
  <c r="Z598" i="5" s="1"/>
  <c r="AA598" i="5" s="1"/>
  <c r="W599" i="5"/>
  <c r="Y599" i="5" s="1"/>
  <c r="Z599" i="5" s="1"/>
  <c r="AA599" i="5" s="1"/>
  <c r="W600" i="5"/>
  <c r="Y600" i="5" s="1"/>
  <c r="Z600" i="5" s="1"/>
  <c r="AA600" i="5" s="1"/>
  <c r="W601" i="5"/>
  <c r="Y601" i="5" s="1"/>
  <c r="Z601" i="5" s="1"/>
  <c r="AA601" i="5" s="1"/>
  <c r="W602" i="5"/>
  <c r="Y602" i="5" s="1"/>
  <c r="Z602" i="5" s="1"/>
  <c r="AA602" i="5" s="1"/>
  <c r="W603" i="5"/>
  <c r="Y603" i="5" s="1"/>
  <c r="Z603" i="5" s="1"/>
  <c r="AA603" i="5" s="1"/>
  <c r="W604" i="5"/>
  <c r="Y604" i="5" s="1"/>
  <c r="Z604" i="5" s="1"/>
  <c r="AA604" i="5" s="1"/>
  <c r="W605" i="5"/>
  <c r="Y605" i="5" s="1"/>
  <c r="Z605" i="5" s="1"/>
  <c r="AA605" i="5" s="1"/>
  <c r="W606" i="5"/>
  <c r="Y606" i="5" s="1"/>
  <c r="Z606" i="5" s="1"/>
  <c r="AA606" i="5" s="1"/>
  <c r="W607" i="5"/>
  <c r="Y607" i="5" s="1"/>
  <c r="Z607" i="5" s="1"/>
  <c r="AA607" i="5" s="1"/>
  <c r="W608" i="5"/>
  <c r="Y608" i="5" s="1"/>
  <c r="Z608" i="5" s="1"/>
  <c r="AA608" i="5" s="1"/>
  <c r="W609" i="5"/>
  <c r="Y609" i="5" s="1"/>
  <c r="Z609" i="5" s="1"/>
  <c r="AA609" i="5" s="1"/>
  <c r="W610" i="5"/>
  <c r="Y610" i="5" s="1"/>
  <c r="Z610" i="5" s="1"/>
  <c r="AA610" i="5" s="1"/>
  <c r="W611" i="5"/>
  <c r="Y611" i="5" s="1"/>
  <c r="Z611" i="5" s="1"/>
  <c r="AA611" i="5" s="1"/>
  <c r="W612" i="5"/>
  <c r="Y612" i="5" s="1"/>
  <c r="Z612" i="5" s="1"/>
  <c r="AA612" i="5" s="1"/>
  <c r="W613" i="5"/>
  <c r="Y613" i="5" s="1"/>
  <c r="Z613" i="5" s="1"/>
  <c r="AA613" i="5" s="1"/>
  <c r="W614" i="5"/>
  <c r="Y614" i="5" s="1"/>
  <c r="Z614" i="5" s="1"/>
  <c r="AA614" i="5" s="1"/>
  <c r="W615" i="5"/>
  <c r="Y615" i="5" s="1"/>
  <c r="Z615" i="5" s="1"/>
  <c r="AA615" i="5" s="1"/>
  <c r="W616" i="5"/>
  <c r="Y616" i="5" s="1"/>
  <c r="Z616" i="5" s="1"/>
  <c r="AA616" i="5" s="1"/>
  <c r="W617" i="5"/>
  <c r="Y617" i="5" s="1"/>
  <c r="Z617" i="5" s="1"/>
  <c r="AA617" i="5" s="1"/>
  <c r="W618" i="5"/>
  <c r="Y618" i="5" s="1"/>
  <c r="Z618" i="5" s="1"/>
  <c r="AA618" i="5" s="1"/>
  <c r="W619" i="5"/>
  <c r="Y619" i="5" s="1"/>
  <c r="Z619" i="5" s="1"/>
  <c r="AA619" i="5" s="1"/>
  <c r="W620" i="5"/>
  <c r="Y620" i="5" s="1"/>
  <c r="Z620" i="5" s="1"/>
  <c r="AA620" i="5" s="1"/>
  <c r="W621" i="5"/>
  <c r="Y621" i="5" s="1"/>
  <c r="Z621" i="5" s="1"/>
  <c r="AA621" i="5" s="1"/>
  <c r="W622" i="5"/>
  <c r="Y622" i="5" s="1"/>
  <c r="Z622" i="5" s="1"/>
  <c r="AA622" i="5" s="1"/>
  <c r="W623" i="5"/>
  <c r="Y623" i="5" s="1"/>
  <c r="Z623" i="5" s="1"/>
  <c r="AA623" i="5" s="1"/>
  <c r="W624" i="5"/>
  <c r="Y624" i="5" s="1"/>
  <c r="Z624" i="5" s="1"/>
  <c r="AA624" i="5" s="1"/>
  <c r="W625" i="5"/>
  <c r="Y625" i="5" s="1"/>
  <c r="Z625" i="5" s="1"/>
  <c r="AA625" i="5" s="1"/>
  <c r="W626" i="5"/>
  <c r="Y626" i="5" s="1"/>
  <c r="Z626" i="5" s="1"/>
  <c r="AA626" i="5" s="1"/>
  <c r="W627" i="5"/>
  <c r="Y627" i="5" s="1"/>
  <c r="Z627" i="5" s="1"/>
  <c r="AA627" i="5" s="1"/>
  <c r="W628" i="5"/>
  <c r="Y628" i="5" s="1"/>
  <c r="Z628" i="5" s="1"/>
  <c r="AA628" i="5" s="1"/>
  <c r="W629" i="5"/>
  <c r="Y629" i="5" s="1"/>
  <c r="Z629" i="5" s="1"/>
  <c r="AA629" i="5" s="1"/>
  <c r="W630" i="5"/>
  <c r="Y630" i="5" s="1"/>
  <c r="Z630" i="5" s="1"/>
  <c r="AA630" i="5" s="1"/>
  <c r="W631" i="5"/>
  <c r="Y631" i="5" s="1"/>
  <c r="Z631" i="5" s="1"/>
  <c r="AA631" i="5" s="1"/>
  <c r="W632" i="5"/>
  <c r="Y632" i="5" s="1"/>
  <c r="Z632" i="5" s="1"/>
  <c r="AA632" i="5" s="1"/>
  <c r="W633" i="5"/>
  <c r="Y633" i="5" s="1"/>
  <c r="Z633" i="5" s="1"/>
  <c r="AA633" i="5" s="1"/>
  <c r="W634" i="5"/>
  <c r="Y634" i="5" s="1"/>
  <c r="Z634" i="5" s="1"/>
  <c r="AA634" i="5" s="1"/>
  <c r="W635" i="5"/>
  <c r="Y635" i="5" s="1"/>
  <c r="Z635" i="5" s="1"/>
  <c r="AA635" i="5" s="1"/>
  <c r="W636" i="5"/>
  <c r="Y636" i="5" s="1"/>
  <c r="Z636" i="5" s="1"/>
  <c r="AA636" i="5" s="1"/>
  <c r="W637" i="5"/>
  <c r="Y637" i="5" s="1"/>
  <c r="Z637" i="5" s="1"/>
  <c r="AA637" i="5" s="1"/>
  <c r="W638" i="5"/>
  <c r="Y638" i="5" s="1"/>
  <c r="Z638" i="5" s="1"/>
  <c r="AA638" i="5" s="1"/>
  <c r="W639" i="5"/>
  <c r="Y639" i="5" s="1"/>
  <c r="Z639" i="5" s="1"/>
  <c r="AA639" i="5" s="1"/>
  <c r="W640" i="5"/>
  <c r="Y640" i="5" s="1"/>
  <c r="Z640" i="5" s="1"/>
  <c r="AA640" i="5" s="1"/>
  <c r="W641" i="5"/>
  <c r="Y641" i="5" s="1"/>
  <c r="Z641" i="5" s="1"/>
  <c r="AA641" i="5" s="1"/>
  <c r="W642" i="5"/>
  <c r="Y642" i="5" s="1"/>
  <c r="Z642" i="5" s="1"/>
  <c r="AA642" i="5" s="1"/>
  <c r="W643" i="5"/>
  <c r="Y643" i="5" s="1"/>
  <c r="Z643" i="5" s="1"/>
  <c r="AA643" i="5" s="1"/>
  <c r="W644" i="5"/>
  <c r="Y644" i="5" s="1"/>
  <c r="Z644" i="5" s="1"/>
  <c r="AA644" i="5" s="1"/>
  <c r="W645" i="5"/>
  <c r="Y645" i="5" s="1"/>
  <c r="Z645" i="5" s="1"/>
  <c r="AA645" i="5" s="1"/>
  <c r="W646" i="5"/>
  <c r="Y646" i="5" s="1"/>
  <c r="Z646" i="5" s="1"/>
  <c r="AA646" i="5" s="1"/>
  <c r="W647" i="5"/>
  <c r="Y647" i="5" s="1"/>
  <c r="Z647" i="5" s="1"/>
  <c r="AA647" i="5" s="1"/>
  <c r="W648" i="5"/>
  <c r="Y648" i="5" s="1"/>
  <c r="Z648" i="5" s="1"/>
  <c r="AA648" i="5" s="1"/>
  <c r="W649" i="5"/>
  <c r="Y649" i="5" s="1"/>
  <c r="Z649" i="5" s="1"/>
  <c r="AA649" i="5" s="1"/>
  <c r="W650" i="5"/>
  <c r="Y650" i="5" s="1"/>
  <c r="Z650" i="5" s="1"/>
  <c r="AA650" i="5" s="1"/>
  <c r="W651" i="5"/>
  <c r="Y651" i="5" s="1"/>
  <c r="Z651" i="5" s="1"/>
  <c r="AA651" i="5" s="1"/>
  <c r="W652" i="5"/>
  <c r="Y652" i="5" s="1"/>
  <c r="Z652" i="5" s="1"/>
  <c r="AA652" i="5" s="1"/>
  <c r="W653" i="5"/>
  <c r="Y653" i="5" s="1"/>
  <c r="Z653" i="5" s="1"/>
  <c r="AA653" i="5" s="1"/>
  <c r="W654" i="5"/>
  <c r="Y654" i="5" s="1"/>
  <c r="Z654" i="5" s="1"/>
  <c r="AA654" i="5" s="1"/>
  <c r="W655" i="5"/>
  <c r="Y655" i="5" s="1"/>
  <c r="Z655" i="5" s="1"/>
  <c r="AA655" i="5" s="1"/>
  <c r="W656" i="5"/>
  <c r="Y656" i="5" s="1"/>
  <c r="Z656" i="5" s="1"/>
  <c r="AA656" i="5" s="1"/>
  <c r="W657" i="5"/>
  <c r="Y657" i="5" s="1"/>
  <c r="Z657" i="5" s="1"/>
  <c r="AA657" i="5" s="1"/>
  <c r="W658" i="5"/>
  <c r="Y658" i="5" s="1"/>
  <c r="Z658" i="5" s="1"/>
  <c r="AA658" i="5" s="1"/>
  <c r="W659" i="5"/>
  <c r="Y659" i="5" s="1"/>
  <c r="Z659" i="5" s="1"/>
  <c r="AA659" i="5" s="1"/>
  <c r="W660" i="5"/>
  <c r="Y660" i="5" s="1"/>
  <c r="Z660" i="5" s="1"/>
  <c r="AA660" i="5" s="1"/>
  <c r="W661" i="5"/>
  <c r="Y661" i="5" s="1"/>
  <c r="Z661" i="5" s="1"/>
  <c r="AA661" i="5" s="1"/>
  <c r="W662" i="5"/>
  <c r="Y662" i="5" s="1"/>
  <c r="Z662" i="5" s="1"/>
  <c r="AA662" i="5" s="1"/>
  <c r="W663" i="5"/>
  <c r="Y663" i="5" s="1"/>
  <c r="Z663" i="5" s="1"/>
  <c r="AA663" i="5" s="1"/>
  <c r="W664" i="5"/>
  <c r="Y664" i="5" s="1"/>
  <c r="Z664" i="5" s="1"/>
  <c r="AA664" i="5" s="1"/>
  <c r="W665" i="5"/>
  <c r="Y665" i="5" s="1"/>
  <c r="Z665" i="5" s="1"/>
  <c r="AA665" i="5" s="1"/>
  <c r="W666" i="5"/>
  <c r="Y666" i="5" s="1"/>
  <c r="Z666" i="5" s="1"/>
  <c r="AA666" i="5" s="1"/>
  <c r="W667" i="5"/>
  <c r="Y667" i="5" s="1"/>
  <c r="Z667" i="5" s="1"/>
  <c r="AA667" i="5" s="1"/>
  <c r="W668" i="5"/>
  <c r="Y668" i="5" s="1"/>
  <c r="Z668" i="5" s="1"/>
  <c r="AA668" i="5" s="1"/>
  <c r="W669" i="5"/>
  <c r="Y669" i="5" s="1"/>
  <c r="Z669" i="5" s="1"/>
  <c r="AA669" i="5" s="1"/>
  <c r="W670" i="5"/>
  <c r="Y670" i="5" s="1"/>
  <c r="Z670" i="5" s="1"/>
  <c r="AA670" i="5" s="1"/>
  <c r="W671" i="5"/>
  <c r="Y671" i="5" s="1"/>
  <c r="Z671" i="5" s="1"/>
  <c r="AA671" i="5" s="1"/>
  <c r="W672" i="5"/>
  <c r="Y672" i="5" s="1"/>
  <c r="Z672" i="5" s="1"/>
  <c r="AA672" i="5" s="1"/>
  <c r="W673" i="5"/>
  <c r="Y673" i="5" s="1"/>
  <c r="Z673" i="5" s="1"/>
  <c r="AA673" i="5" s="1"/>
  <c r="W674" i="5"/>
  <c r="Y674" i="5" s="1"/>
  <c r="Z674" i="5" s="1"/>
  <c r="AA674" i="5" s="1"/>
  <c r="W675" i="5"/>
  <c r="Y675" i="5" s="1"/>
  <c r="Z675" i="5" s="1"/>
  <c r="AA675" i="5" s="1"/>
  <c r="W676" i="5"/>
  <c r="Y676" i="5" s="1"/>
  <c r="Z676" i="5" s="1"/>
  <c r="AA676" i="5" s="1"/>
  <c r="W677" i="5"/>
  <c r="Y677" i="5" s="1"/>
  <c r="Z677" i="5" s="1"/>
  <c r="AA677" i="5" s="1"/>
  <c r="W678" i="5"/>
  <c r="Y678" i="5" s="1"/>
  <c r="Z678" i="5" s="1"/>
  <c r="AA678" i="5" s="1"/>
  <c r="W679" i="5"/>
  <c r="Y679" i="5" s="1"/>
  <c r="Z679" i="5" s="1"/>
  <c r="AA679" i="5" s="1"/>
  <c r="W680" i="5"/>
  <c r="Y680" i="5" s="1"/>
  <c r="Z680" i="5" s="1"/>
  <c r="AA680" i="5" s="1"/>
  <c r="W681" i="5"/>
  <c r="Y681" i="5" s="1"/>
  <c r="Z681" i="5" s="1"/>
  <c r="AA681" i="5" s="1"/>
  <c r="W682" i="5"/>
  <c r="Y682" i="5" s="1"/>
  <c r="Z682" i="5" s="1"/>
  <c r="AA682" i="5" s="1"/>
  <c r="W683" i="5"/>
  <c r="Y683" i="5" s="1"/>
  <c r="Z683" i="5" s="1"/>
  <c r="AA683" i="5" s="1"/>
  <c r="W684" i="5"/>
  <c r="Y684" i="5" s="1"/>
  <c r="Z684" i="5" s="1"/>
  <c r="AA684" i="5" s="1"/>
  <c r="W685" i="5"/>
  <c r="Y685" i="5" s="1"/>
  <c r="Z685" i="5" s="1"/>
  <c r="AA685" i="5" s="1"/>
  <c r="W686" i="5"/>
  <c r="Y686" i="5" s="1"/>
  <c r="Z686" i="5" s="1"/>
  <c r="AA686" i="5" s="1"/>
  <c r="W687" i="5"/>
  <c r="Y687" i="5" s="1"/>
  <c r="Z687" i="5" s="1"/>
  <c r="AA687" i="5" s="1"/>
  <c r="W688" i="5"/>
  <c r="Y688" i="5" s="1"/>
  <c r="Z688" i="5" s="1"/>
  <c r="AA688" i="5" s="1"/>
  <c r="W689" i="5"/>
  <c r="Y689" i="5" s="1"/>
  <c r="Z689" i="5" s="1"/>
  <c r="AA689" i="5" s="1"/>
  <c r="W690" i="5"/>
  <c r="Y690" i="5" s="1"/>
  <c r="Z690" i="5" s="1"/>
  <c r="AA690" i="5" s="1"/>
  <c r="W691" i="5"/>
  <c r="Y691" i="5" s="1"/>
  <c r="Z691" i="5" s="1"/>
  <c r="AA691" i="5" s="1"/>
  <c r="W692" i="5"/>
  <c r="Y692" i="5" s="1"/>
  <c r="Z692" i="5" s="1"/>
  <c r="AA692" i="5" s="1"/>
  <c r="W693" i="5"/>
  <c r="Y693" i="5" s="1"/>
  <c r="Z693" i="5" s="1"/>
  <c r="AA693" i="5" s="1"/>
  <c r="W694" i="5"/>
  <c r="Y694" i="5" s="1"/>
  <c r="Z694" i="5" s="1"/>
  <c r="AA694" i="5" s="1"/>
  <c r="W695" i="5"/>
  <c r="Y695" i="5" s="1"/>
  <c r="Z695" i="5" s="1"/>
  <c r="AA695" i="5" s="1"/>
  <c r="W696" i="5"/>
  <c r="Y696" i="5" s="1"/>
  <c r="Z696" i="5" s="1"/>
  <c r="AA696" i="5" s="1"/>
  <c r="W697" i="5"/>
  <c r="Y697" i="5" s="1"/>
  <c r="Z697" i="5" s="1"/>
  <c r="AA697" i="5" s="1"/>
  <c r="W698" i="5"/>
  <c r="Y698" i="5" s="1"/>
  <c r="Z698" i="5" s="1"/>
  <c r="AA698" i="5" s="1"/>
  <c r="W699" i="5"/>
  <c r="Y699" i="5" s="1"/>
  <c r="Z699" i="5" s="1"/>
  <c r="AA699" i="5" s="1"/>
  <c r="W700" i="5"/>
  <c r="Y700" i="5" s="1"/>
  <c r="Z700" i="5" s="1"/>
  <c r="AA700" i="5" s="1"/>
  <c r="W701" i="5"/>
  <c r="Y701" i="5" s="1"/>
  <c r="Z701" i="5" s="1"/>
  <c r="AA701" i="5" s="1"/>
  <c r="W702" i="5"/>
  <c r="Y702" i="5" s="1"/>
  <c r="Z702" i="5" s="1"/>
  <c r="AA702" i="5" s="1"/>
  <c r="W703" i="5"/>
  <c r="Y703" i="5" s="1"/>
  <c r="Z703" i="5" s="1"/>
  <c r="AA703" i="5" s="1"/>
  <c r="W704" i="5"/>
  <c r="Y704" i="5" s="1"/>
  <c r="Z704" i="5" s="1"/>
  <c r="AA704" i="5" s="1"/>
  <c r="W705" i="5"/>
  <c r="Y705" i="5" s="1"/>
  <c r="Z705" i="5" s="1"/>
  <c r="AA705" i="5" s="1"/>
  <c r="W706" i="5"/>
  <c r="Y706" i="5" s="1"/>
  <c r="Z706" i="5" s="1"/>
  <c r="AA706" i="5" s="1"/>
  <c r="W707" i="5"/>
  <c r="Y707" i="5" s="1"/>
  <c r="Z707" i="5" s="1"/>
  <c r="AA707" i="5" s="1"/>
  <c r="W708" i="5"/>
  <c r="Y708" i="5" s="1"/>
  <c r="Z708" i="5" s="1"/>
  <c r="AA708" i="5" s="1"/>
  <c r="W709" i="5"/>
  <c r="Y709" i="5" s="1"/>
  <c r="Z709" i="5" s="1"/>
  <c r="AA709" i="5" s="1"/>
  <c r="W710" i="5"/>
  <c r="Y710" i="5" s="1"/>
  <c r="Z710" i="5" s="1"/>
  <c r="AA710" i="5" s="1"/>
  <c r="W711" i="5"/>
  <c r="Y711" i="5" s="1"/>
  <c r="Z711" i="5" s="1"/>
  <c r="AA711" i="5" s="1"/>
  <c r="W712" i="5"/>
  <c r="Y712" i="5" s="1"/>
  <c r="Z712" i="5" s="1"/>
  <c r="AA712" i="5" s="1"/>
  <c r="W713" i="5"/>
  <c r="Y713" i="5" s="1"/>
  <c r="Z713" i="5" s="1"/>
  <c r="AA713" i="5" s="1"/>
  <c r="W714" i="5"/>
  <c r="Y714" i="5" s="1"/>
  <c r="Z714" i="5" s="1"/>
  <c r="AA714" i="5" s="1"/>
  <c r="W715" i="5"/>
  <c r="Y715" i="5" s="1"/>
  <c r="Z715" i="5" s="1"/>
  <c r="AA715" i="5" s="1"/>
  <c r="W716" i="5"/>
  <c r="Y716" i="5" s="1"/>
  <c r="Z716" i="5" s="1"/>
  <c r="AA716" i="5" s="1"/>
  <c r="W717" i="5"/>
  <c r="Y717" i="5" s="1"/>
  <c r="Z717" i="5" s="1"/>
  <c r="AA717" i="5" s="1"/>
  <c r="W718" i="5"/>
  <c r="Y718" i="5" s="1"/>
  <c r="Z718" i="5" s="1"/>
  <c r="AA718" i="5" s="1"/>
  <c r="W719" i="5"/>
  <c r="Y719" i="5" s="1"/>
  <c r="Z719" i="5" s="1"/>
  <c r="AA719" i="5" s="1"/>
  <c r="W720" i="5"/>
  <c r="Y720" i="5" s="1"/>
  <c r="Z720" i="5" s="1"/>
  <c r="AA720" i="5" s="1"/>
  <c r="W721" i="5"/>
  <c r="Y721" i="5" s="1"/>
  <c r="Z721" i="5" s="1"/>
  <c r="AA721" i="5" s="1"/>
  <c r="W722" i="5"/>
  <c r="Y722" i="5" s="1"/>
  <c r="Z722" i="5" s="1"/>
  <c r="AA722" i="5" s="1"/>
  <c r="W723" i="5"/>
  <c r="Y723" i="5" s="1"/>
  <c r="Z723" i="5" s="1"/>
  <c r="AA723" i="5" s="1"/>
  <c r="W724" i="5"/>
  <c r="Y724" i="5" s="1"/>
  <c r="Z724" i="5" s="1"/>
  <c r="AA724" i="5" s="1"/>
  <c r="W725" i="5"/>
  <c r="Y725" i="5" s="1"/>
  <c r="Z725" i="5" s="1"/>
  <c r="AA725" i="5" s="1"/>
  <c r="W726" i="5"/>
  <c r="Y726" i="5" s="1"/>
  <c r="Z726" i="5" s="1"/>
  <c r="AA726" i="5" s="1"/>
  <c r="W727" i="5"/>
  <c r="Y727" i="5" s="1"/>
  <c r="Z727" i="5" s="1"/>
  <c r="AA727" i="5" s="1"/>
  <c r="W728" i="5"/>
  <c r="Y728" i="5" s="1"/>
  <c r="Z728" i="5" s="1"/>
  <c r="AA728" i="5" s="1"/>
  <c r="W729" i="5"/>
  <c r="Y729" i="5" s="1"/>
  <c r="Z729" i="5" s="1"/>
  <c r="AA729" i="5" s="1"/>
  <c r="W730" i="5"/>
  <c r="Y730" i="5" s="1"/>
  <c r="Z730" i="5" s="1"/>
  <c r="AA730" i="5" s="1"/>
  <c r="W731" i="5"/>
  <c r="Y731" i="5" s="1"/>
  <c r="Z731" i="5" s="1"/>
  <c r="AA731" i="5" s="1"/>
  <c r="W732" i="5"/>
  <c r="Y732" i="5" s="1"/>
  <c r="Z732" i="5" s="1"/>
  <c r="AA732" i="5" s="1"/>
  <c r="W733" i="5"/>
  <c r="Y733" i="5" s="1"/>
  <c r="Z733" i="5" s="1"/>
  <c r="AA733" i="5" s="1"/>
  <c r="W734" i="5"/>
  <c r="Y734" i="5" s="1"/>
  <c r="Z734" i="5" s="1"/>
  <c r="AA734" i="5" s="1"/>
  <c r="W735" i="5"/>
  <c r="Y735" i="5" s="1"/>
  <c r="Z735" i="5" s="1"/>
  <c r="AA735" i="5" s="1"/>
  <c r="W736" i="5"/>
  <c r="Y736" i="5" s="1"/>
  <c r="Z736" i="5" s="1"/>
  <c r="AA736" i="5" s="1"/>
  <c r="W737" i="5"/>
  <c r="Y737" i="5" s="1"/>
  <c r="Z737" i="5" s="1"/>
  <c r="AA737" i="5" s="1"/>
  <c r="W738" i="5"/>
  <c r="Y738" i="5" s="1"/>
  <c r="Z738" i="5" s="1"/>
  <c r="AA738" i="5" s="1"/>
  <c r="W739" i="5"/>
  <c r="Y739" i="5" s="1"/>
  <c r="Z739" i="5" s="1"/>
  <c r="AA739" i="5" s="1"/>
  <c r="W740" i="5"/>
  <c r="Y740" i="5" s="1"/>
  <c r="Z740" i="5" s="1"/>
  <c r="AA740" i="5" s="1"/>
  <c r="W741" i="5"/>
  <c r="Y741" i="5" s="1"/>
  <c r="Z741" i="5" s="1"/>
  <c r="AA741" i="5" s="1"/>
  <c r="W742" i="5"/>
  <c r="Y742" i="5" s="1"/>
  <c r="Z742" i="5" s="1"/>
  <c r="AA742" i="5" s="1"/>
  <c r="W743" i="5"/>
  <c r="Y743" i="5" s="1"/>
  <c r="Z743" i="5" s="1"/>
  <c r="AA743" i="5" s="1"/>
  <c r="W744" i="5"/>
  <c r="Y744" i="5" s="1"/>
  <c r="Z744" i="5" s="1"/>
  <c r="AA744" i="5" s="1"/>
  <c r="W745" i="5"/>
  <c r="Y745" i="5" s="1"/>
  <c r="Z745" i="5" s="1"/>
  <c r="AA745" i="5" s="1"/>
  <c r="W746" i="5"/>
  <c r="Y746" i="5" s="1"/>
  <c r="Z746" i="5" s="1"/>
  <c r="AA746" i="5" s="1"/>
  <c r="W747" i="5"/>
  <c r="Y747" i="5" s="1"/>
  <c r="Z747" i="5" s="1"/>
  <c r="AA747" i="5" s="1"/>
  <c r="W748" i="5"/>
  <c r="Y748" i="5" s="1"/>
  <c r="Z748" i="5" s="1"/>
  <c r="AA748" i="5" s="1"/>
  <c r="W749" i="5"/>
  <c r="Y749" i="5" s="1"/>
  <c r="Z749" i="5" s="1"/>
  <c r="AA749" i="5" s="1"/>
  <c r="W750" i="5"/>
  <c r="Y750" i="5" s="1"/>
  <c r="Z750" i="5" s="1"/>
  <c r="AA750" i="5" s="1"/>
  <c r="W751" i="5"/>
  <c r="Y751" i="5" s="1"/>
  <c r="Z751" i="5" s="1"/>
  <c r="AA751" i="5" s="1"/>
  <c r="W752" i="5"/>
  <c r="Y752" i="5" s="1"/>
  <c r="Z752" i="5" s="1"/>
  <c r="AA752" i="5" s="1"/>
  <c r="W753" i="5"/>
  <c r="Y753" i="5" s="1"/>
  <c r="Z753" i="5" s="1"/>
  <c r="AA753" i="5" s="1"/>
  <c r="W754" i="5"/>
  <c r="Y754" i="5" s="1"/>
  <c r="Z754" i="5" s="1"/>
  <c r="AA754" i="5" s="1"/>
  <c r="W755" i="5"/>
  <c r="Y755" i="5" s="1"/>
  <c r="Z755" i="5" s="1"/>
  <c r="AA755" i="5" s="1"/>
  <c r="W756" i="5"/>
  <c r="Y756" i="5" s="1"/>
  <c r="Z756" i="5" s="1"/>
  <c r="AA756" i="5" s="1"/>
  <c r="W757" i="5"/>
  <c r="Y757" i="5" s="1"/>
  <c r="Z757" i="5" s="1"/>
  <c r="AA757" i="5" s="1"/>
  <c r="W758" i="5"/>
  <c r="Y758" i="5" s="1"/>
  <c r="Z758" i="5" s="1"/>
  <c r="AA758" i="5" s="1"/>
  <c r="W759" i="5"/>
  <c r="Y759" i="5" s="1"/>
  <c r="Z759" i="5" s="1"/>
  <c r="AA759" i="5" s="1"/>
  <c r="W760" i="5"/>
  <c r="Y760" i="5" s="1"/>
  <c r="Z760" i="5" s="1"/>
  <c r="AA760" i="5" s="1"/>
  <c r="W761" i="5"/>
  <c r="Y761" i="5" s="1"/>
  <c r="Z761" i="5" s="1"/>
  <c r="AA761" i="5" s="1"/>
  <c r="W762" i="5"/>
  <c r="Y762" i="5" s="1"/>
  <c r="Z762" i="5" s="1"/>
  <c r="AA762" i="5" s="1"/>
  <c r="W763" i="5"/>
  <c r="Y763" i="5" s="1"/>
  <c r="Z763" i="5" s="1"/>
  <c r="AA763" i="5" s="1"/>
  <c r="W764" i="5"/>
  <c r="Y764" i="5" s="1"/>
  <c r="Z764" i="5" s="1"/>
  <c r="AA764" i="5" s="1"/>
  <c r="W765" i="5"/>
  <c r="Y765" i="5" s="1"/>
  <c r="Z765" i="5" s="1"/>
  <c r="AA765" i="5" s="1"/>
  <c r="W766" i="5"/>
  <c r="Y766" i="5" s="1"/>
  <c r="Z766" i="5" s="1"/>
  <c r="AA766" i="5" s="1"/>
  <c r="W767" i="5"/>
  <c r="Y767" i="5" s="1"/>
  <c r="Z767" i="5" s="1"/>
  <c r="AA767" i="5" s="1"/>
  <c r="W768" i="5"/>
  <c r="Y768" i="5" s="1"/>
  <c r="Z768" i="5" s="1"/>
  <c r="AA768" i="5" s="1"/>
  <c r="W769" i="5"/>
  <c r="Y769" i="5" s="1"/>
  <c r="Z769" i="5" s="1"/>
  <c r="AA769" i="5" s="1"/>
  <c r="W770" i="5"/>
  <c r="Y770" i="5" s="1"/>
  <c r="Z770" i="5" s="1"/>
  <c r="AA770" i="5" s="1"/>
  <c r="W771" i="5"/>
  <c r="Y771" i="5" s="1"/>
  <c r="Z771" i="5" s="1"/>
  <c r="AA771" i="5" s="1"/>
  <c r="W772" i="5"/>
  <c r="Y772" i="5" s="1"/>
  <c r="Z772" i="5" s="1"/>
  <c r="AA772" i="5" s="1"/>
  <c r="W773" i="5"/>
  <c r="Y773" i="5" s="1"/>
  <c r="Z773" i="5" s="1"/>
  <c r="AA773" i="5" s="1"/>
  <c r="W774" i="5"/>
  <c r="Y774" i="5" s="1"/>
  <c r="Z774" i="5" s="1"/>
  <c r="AA774" i="5" s="1"/>
  <c r="W775" i="5"/>
  <c r="Y775" i="5" s="1"/>
  <c r="Z775" i="5" s="1"/>
  <c r="AA775" i="5" s="1"/>
  <c r="W776" i="5"/>
  <c r="Y776" i="5" s="1"/>
  <c r="Z776" i="5" s="1"/>
  <c r="AA776" i="5" s="1"/>
  <c r="W777" i="5"/>
  <c r="Y777" i="5" s="1"/>
  <c r="Z777" i="5" s="1"/>
  <c r="AA777" i="5" s="1"/>
  <c r="W778" i="5"/>
  <c r="Y778" i="5" s="1"/>
  <c r="Z778" i="5" s="1"/>
  <c r="AA778" i="5" s="1"/>
  <c r="W779" i="5"/>
  <c r="Y779" i="5" s="1"/>
  <c r="Z779" i="5" s="1"/>
  <c r="AA779" i="5" s="1"/>
  <c r="W780" i="5"/>
  <c r="Y780" i="5" s="1"/>
  <c r="Z780" i="5" s="1"/>
  <c r="AA780" i="5" s="1"/>
  <c r="W781" i="5"/>
  <c r="Y781" i="5" s="1"/>
  <c r="Z781" i="5" s="1"/>
  <c r="AA781" i="5" s="1"/>
  <c r="W782" i="5"/>
  <c r="Y782" i="5" s="1"/>
  <c r="Z782" i="5" s="1"/>
  <c r="AA782" i="5" s="1"/>
  <c r="W783" i="5"/>
  <c r="Y783" i="5" s="1"/>
  <c r="Z783" i="5" s="1"/>
  <c r="AA783" i="5" s="1"/>
  <c r="W784" i="5"/>
  <c r="Y784" i="5" s="1"/>
  <c r="Z784" i="5" s="1"/>
  <c r="AA784" i="5" s="1"/>
  <c r="W785" i="5"/>
  <c r="Y785" i="5" s="1"/>
  <c r="Z785" i="5" s="1"/>
  <c r="AA785" i="5" s="1"/>
  <c r="W786" i="5"/>
  <c r="Y786" i="5" s="1"/>
  <c r="Z786" i="5" s="1"/>
  <c r="AA786" i="5" s="1"/>
  <c r="W787" i="5"/>
  <c r="Y787" i="5" s="1"/>
  <c r="Z787" i="5" s="1"/>
  <c r="AA787" i="5" s="1"/>
  <c r="W788" i="5"/>
  <c r="Y788" i="5" s="1"/>
  <c r="Z788" i="5" s="1"/>
  <c r="AA788" i="5" s="1"/>
  <c r="W789" i="5"/>
  <c r="Y789" i="5" s="1"/>
  <c r="Z789" i="5" s="1"/>
  <c r="AA789" i="5" s="1"/>
  <c r="W790" i="5"/>
  <c r="Y790" i="5" s="1"/>
  <c r="Z790" i="5" s="1"/>
  <c r="AA790" i="5" s="1"/>
  <c r="W791" i="5"/>
  <c r="Y791" i="5" s="1"/>
  <c r="Z791" i="5" s="1"/>
  <c r="AA791" i="5" s="1"/>
  <c r="W792" i="5"/>
  <c r="Y792" i="5" s="1"/>
  <c r="Z792" i="5" s="1"/>
  <c r="AA792" i="5" s="1"/>
  <c r="W793" i="5"/>
  <c r="Y793" i="5" s="1"/>
  <c r="Z793" i="5" s="1"/>
  <c r="AA793" i="5" s="1"/>
  <c r="W794" i="5"/>
  <c r="Y794" i="5" s="1"/>
  <c r="Z794" i="5" s="1"/>
  <c r="AA794" i="5" s="1"/>
  <c r="W795" i="5"/>
  <c r="Y795" i="5" s="1"/>
  <c r="Z795" i="5" s="1"/>
  <c r="AA795" i="5" s="1"/>
  <c r="W796" i="5"/>
  <c r="Y796" i="5" s="1"/>
  <c r="Z796" i="5" s="1"/>
  <c r="AA796" i="5" s="1"/>
  <c r="W797" i="5"/>
  <c r="Y797" i="5" s="1"/>
  <c r="Z797" i="5" s="1"/>
  <c r="AA797" i="5" s="1"/>
  <c r="W798" i="5"/>
  <c r="Y798" i="5" s="1"/>
  <c r="Z798" i="5" s="1"/>
  <c r="AA798" i="5" s="1"/>
  <c r="W799" i="5"/>
  <c r="Y799" i="5" s="1"/>
  <c r="Z799" i="5" s="1"/>
  <c r="AA799" i="5" s="1"/>
  <c r="W800" i="5"/>
  <c r="Y800" i="5" s="1"/>
  <c r="Z800" i="5" s="1"/>
  <c r="AA800" i="5" s="1"/>
  <c r="W801" i="5"/>
  <c r="Y801" i="5" s="1"/>
  <c r="Z801" i="5" s="1"/>
  <c r="AA801" i="5" s="1"/>
  <c r="W802" i="5"/>
  <c r="Y802" i="5" s="1"/>
  <c r="Z802" i="5" s="1"/>
  <c r="AA802" i="5" s="1"/>
  <c r="W803" i="5"/>
  <c r="Y803" i="5" s="1"/>
  <c r="Z803" i="5" s="1"/>
  <c r="AA803" i="5" s="1"/>
  <c r="W804" i="5"/>
  <c r="Y804" i="5" s="1"/>
  <c r="Z804" i="5" s="1"/>
  <c r="AA804" i="5" s="1"/>
  <c r="W805" i="5"/>
  <c r="Y805" i="5" s="1"/>
  <c r="Z805" i="5" s="1"/>
  <c r="AA805" i="5" s="1"/>
  <c r="W806" i="5"/>
  <c r="Y806" i="5" s="1"/>
  <c r="Z806" i="5" s="1"/>
  <c r="AA806" i="5" s="1"/>
  <c r="W807" i="5"/>
  <c r="Y807" i="5" s="1"/>
  <c r="Z807" i="5" s="1"/>
  <c r="AA807" i="5" s="1"/>
  <c r="W808" i="5"/>
  <c r="Y808" i="5" s="1"/>
  <c r="Z808" i="5" s="1"/>
  <c r="AA808" i="5" s="1"/>
  <c r="W809" i="5"/>
  <c r="Y809" i="5" s="1"/>
  <c r="Z809" i="5" s="1"/>
  <c r="AA809" i="5" s="1"/>
  <c r="W810" i="5"/>
  <c r="Y810" i="5" s="1"/>
  <c r="Z810" i="5" s="1"/>
  <c r="AA810" i="5" s="1"/>
  <c r="W811" i="5"/>
  <c r="Y811" i="5" s="1"/>
  <c r="Z811" i="5" s="1"/>
  <c r="AA811" i="5" s="1"/>
  <c r="W812" i="5"/>
  <c r="Y812" i="5" s="1"/>
  <c r="Z812" i="5" s="1"/>
  <c r="AA812" i="5" s="1"/>
  <c r="W813" i="5"/>
  <c r="Y813" i="5" s="1"/>
  <c r="Z813" i="5" s="1"/>
  <c r="AA813" i="5" s="1"/>
  <c r="W814" i="5"/>
  <c r="Y814" i="5" s="1"/>
  <c r="Z814" i="5" s="1"/>
  <c r="AA814" i="5" s="1"/>
  <c r="W815" i="5"/>
  <c r="Y815" i="5" s="1"/>
  <c r="Z815" i="5" s="1"/>
  <c r="AA815" i="5" s="1"/>
  <c r="W816" i="5"/>
  <c r="Y816" i="5" s="1"/>
  <c r="Z816" i="5" s="1"/>
  <c r="AA816" i="5" s="1"/>
  <c r="W817" i="5"/>
  <c r="Y817" i="5" s="1"/>
  <c r="Z817" i="5" s="1"/>
  <c r="AA817" i="5" s="1"/>
  <c r="W818" i="5"/>
  <c r="Y818" i="5" s="1"/>
  <c r="Z818" i="5" s="1"/>
  <c r="AA818" i="5" s="1"/>
  <c r="W819" i="5"/>
  <c r="Y819" i="5" s="1"/>
  <c r="Z819" i="5" s="1"/>
  <c r="AA819" i="5" s="1"/>
  <c r="W820" i="5"/>
  <c r="Y820" i="5" s="1"/>
  <c r="Z820" i="5" s="1"/>
  <c r="AA820" i="5" s="1"/>
  <c r="W821" i="5"/>
  <c r="Y821" i="5" s="1"/>
  <c r="Z821" i="5" s="1"/>
  <c r="AA821" i="5" s="1"/>
  <c r="W822" i="5"/>
  <c r="Y822" i="5" s="1"/>
  <c r="Z822" i="5" s="1"/>
  <c r="AA822" i="5" s="1"/>
  <c r="W823" i="5"/>
  <c r="Y823" i="5" s="1"/>
  <c r="Z823" i="5" s="1"/>
  <c r="AA823" i="5" s="1"/>
  <c r="W824" i="5"/>
  <c r="Y824" i="5" s="1"/>
  <c r="Z824" i="5" s="1"/>
  <c r="AA824" i="5" s="1"/>
  <c r="W825" i="5"/>
  <c r="Y825" i="5" s="1"/>
  <c r="Z825" i="5" s="1"/>
  <c r="AA825" i="5" s="1"/>
  <c r="W826" i="5"/>
  <c r="Y826" i="5" s="1"/>
  <c r="Z826" i="5" s="1"/>
  <c r="AA826" i="5" s="1"/>
  <c r="W827" i="5"/>
  <c r="Y827" i="5" s="1"/>
  <c r="Z827" i="5" s="1"/>
  <c r="AA827" i="5" s="1"/>
  <c r="W828" i="5"/>
  <c r="Y828" i="5" s="1"/>
  <c r="Z828" i="5" s="1"/>
  <c r="AA828" i="5" s="1"/>
  <c r="W829" i="5"/>
  <c r="Y829" i="5" s="1"/>
  <c r="Z829" i="5" s="1"/>
  <c r="AA829" i="5" s="1"/>
  <c r="W830" i="5"/>
  <c r="Y830" i="5" s="1"/>
  <c r="Z830" i="5" s="1"/>
  <c r="AA830" i="5" s="1"/>
  <c r="W831" i="5"/>
  <c r="Y831" i="5" s="1"/>
  <c r="Z831" i="5" s="1"/>
  <c r="AA831" i="5" s="1"/>
  <c r="W832" i="5"/>
  <c r="Y832" i="5" s="1"/>
  <c r="Z832" i="5" s="1"/>
  <c r="AA832" i="5" s="1"/>
  <c r="W833" i="5"/>
  <c r="Y833" i="5" s="1"/>
  <c r="Z833" i="5" s="1"/>
  <c r="AA833" i="5" s="1"/>
  <c r="W834" i="5"/>
  <c r="Y834" i="5" s="1"/>
  <c r="Z834" i="5" s="1"/>
  <c r="AA834" i="5" s="1"/>
  <c r="W835" i="5"/>
  <c r="Y835" i="5" s="1"/>
  <c r="Z835" i="5" s="1"/>
  <c r="AA835" i="5" s="1"/>
  <c r="W836" i="5"/>
  <c r="Y836" i="5" s="1"/>
  <c r="Z836" i="5" s="1"/>
  <c r="AA836" i="5" s="1"/>
  <c r="W837" i="5"/>
  <c r="Y837" i="5" s="1"/>
  <c r="Z837" i="5" s="1"/>
  <c r="AA837" i="5" s="1"/>
  <c r="W838" i="5"/>
  <c r="Y838" i="5" s="1"/>
  <c r="Z838" i="5" s="1"/>
  <c r="AA838" i="5" s="1"/>
  <c r="W839" i="5"/>
  <c r="Y839" i="5" s="1"/>
  <c r="Z839" i="5" s="1"/>
  <c r="AA839" i="5" s="1"/>
  <c r="W840" i="5"/>
  <c r="Y840" i="5" s="1"/>
  <c r="Z840" i="5" s="1"/>
  <c r="AA840" i="5" s="1"/>
  <c r="W841" i="5"/>
  <c r="Y841" i="5" s="1"/>
  <c r="Z841" i="5" s="1"/>
  <c r="AA841" i="5" s="1"/>
  <c r="W842" i="5"/>
  <c r="Y842" i="5" s="1"/>
  <c r="Z842" i="5" s="1"/>
  <c r="AA842" i="5" s="1"/>
  <c r="W843" i="5"/>
  <c r="Y843" i="5" s="1"/>
  <c r="Z843" i="5" s="1"/>
  <c r="AA843" i="5" s="1"/>
  <c r="W844" i="5"/>
  <c r="Y844" i="5" s="1"/>
  <c r="Z844" i="5" s="1"/>
  <c r="AA844" i="5" s="1"/>
  <c r="W845" i="5"/>
  <c r="Y845" i="5" s="1"/>
  <c r="Z845" i="5" s="1"/>
  <c r="AA845" i="5" s="1"/>
  <c r="W846" i="5"/>
  <c r="Y846" i="5" s="1"/>
  <c r="Z846" i="5" s="1"/>
  <c r="AA846" i="5" s="1"/>
  <c r="W847" i="5"/>
  <c r="Y847" i="5" s="1"/>
  <c r="Z847" i="5" s="1"/>
  <c r="AA847" i="5" s="1"/>
  <c r="W848" i="5"/>
  <c r="Y848" i="5" s="1"/>
  <c r="Z848" i="5" s="1"/>
  <c r="AA848" i="5" s="1"/>
  <c r="W849" i="5"/>
  <c r="Y849" i="5" s="1"/>
  <c r="Z849" i="5" s="1"/>
  <c r="AA849" i="5" s="1"/>
  <c r="W850" i="5"/>
  <c r="Y850" i="5" s="1"/>
  <c r="Z850" i="5" s="1"/>
  <c r="AA850" i="5" s="1"/>
  <c r="W851" i="5"/>
  <c r="Y851" i="5" s="1"/>
  <c r="Z851" i="5" s="1"/>
  <c r="AA851" i="5" s="1"/>
  <c r="W852" i="5"/>
  <c r="Y852" i="5" s="1"/>
  <c r="Z852" i="5" s="1"/>
  <c r="AA852" i="5" s="1"/>
  <c r="W853" i="5"/>
  <c r="Y853" i="5" s="1"/>
  <c r="Z853" i="5" s="1"/>
  <c r="AA853" i="5" s="1"/>
  <c r="W854" i="5"/>
  <c r="Y854" i="5" s="1"/>
  <c r="Z854" i="5" s="1"/>
  <c r="AA854" i="5" s="1"/>
  <c r="W855" i="5"/>
  <c r="Y855" i="5" s="1"/>
  <c r="Z855" i="5" s="1"/>
  <c r="AA855" i="5" s="1"/>
  <c r="W856" i="5"/>
  <c r="Y856" i="5" s="1"/>
  <c r="Z856" i="5" s="1"/>
  <c r="AA856" i="5" s="1"/>
  <c r="W857" i="5"/>
  <c r="Y857" i="5" s="1"/>
  <c r="Z857" i="5" s="1"/>
  <c r="AA857" i="5" s="1"/>
  <c r="W858" i="5"/>
  <c r="Y858" i="5" s="1"/>
  <c r="Z858" i="5" s="1"/>
  <c r="AA858" i="5" s="1"/>
  <c r="W859" i="5"/>
  <c r="Y859" i="5" s="1"/>
  <c r="Z859" i="5" s="1"/>
  <c r="AA859" i="5" s="1"/>
  <c r="W860" i="5"/>
  <c r="Y860" i="5" s="1"/>
  <c r="Z860" i="5" s="1"/>
  <c r="AA860" i="5" s="1"/>
  <c r="W861" i="5"/>
  <c r="Y861" i="5" s="1"/>
  <c r="Z861" i="5" s="1"/>
  <c r="AA861" i="5" s="1"/>
  <c r="W862" i="5"/>
  <c r="Y862" i="5" s="1"/>
  <c r="Z862" i="5" s="1"/>
  <c r="AA862" i="5" s="1"/>
  <c r="W863" i="5"/>
  <c r="Y863" i="5" s="1"/>
  <c r="Z863" i="5" s="1"/>
  <c r="AA863" i="5" s="1"/>
  <c r="W864" i="5"/>
  <c r="Y864" i="5" s="1"/>
  <c r="Z864" i="5" s="1"/>
  <c r="AA864" i="5" s="1"/>
  <c r="W865" i="5"/>
  <c r="Y865" i="5" s="1"/>
  <c r="Z865" i="5" s="1"/>
  <c r="AA865" i="5" s="1"/>
  <c r="W866" i="5"/>
  <c r="Y866" i="5" s="1"/>
  <c r="Z866" i="5" s="1"/>
  <c r="AA866" i="5" s="1"/>
  <c r="W867" i="5"/>
  <c r="Y867" i="5" s="1"/>
  <c r="Z867" i="5" s="1"/>
  <c r="AA867" i="5" s="1"/>
  <c r="W868" i="5"/>
  <c r="Y868" i="5" s="1"/>
  <c r="Z868" i="5" s="1"/>
  <c r="AA868" i="5" s="1"/>
  <c r="W869" i="5"/>
  <c r="Y869" i="5" s="1"/>
  <c r="Z869" i="5" s="1"/>
  <c r="AA869" i="5" s="1"/>
  <c r="W870" i="5"/>
  <c r="Y870" i="5" s="1"/>
  <c r="Z870" i="5" s="1"/>
  <c r="AA870" i="5" s="1"/>
  <c r="W871" i="5"/>
  <c r="Y871" i="5" s="1"/>
  <c r="Z871" i="5" s="1"/>
  <c r="AA871" i="5" s="1"/>
  <c r="W872" i="5"/>
  <c r="Y872" i="5" s="1"/>
  <c r="Z872" i="5" s="1"/>
  <c r="AA872" i="5" s="1"/>
  <c r="W873" i="5"/>
  <c r="Y873" i="5" s="1"/>
  <c r="Z873" i="5" s="1"/>
  <c r="AA873" i="5" s="1"/>
  <c r="W874" i="5"/>
  <c r="Y874" i="5" s="1"/>
  <c r="Z874" i="5" s="1"/>
  <c r="AA874" i="5" s="1"/>
  <c r="W875" i="5"/>
  <c r="Y875" i="5" s="1"/>
  <c r="Z875" i="5" s="1"/>
  <c r="AA875" i="5" s="1"/>
  <c r="W876" i="5"/>
  <c r="Y876" i="5" s="1"/>
  <c r="Z876" i="5" s="1"/>
  <c r="AA876" i="5" s="1"/>
  <c r="W877" i="5"/>
  <c r="Y877" i="5" s="1"/>
  <c r="Z877" i="5" s="1"/>
  <c r="AA877" i="5" s="1"/>
  <c r="W878" i="5"/>
  <c r="Y878" i="5" s="1"/>
  <c r="Z878" i="5" s="1"/>
  <c r="AA878" i="5" s="1"/>
  <c r="W879" i="5"/>
  <c r="Y879" i="5" s="1"/>
  <c r="Z879" i="5" s="1"/>
  <c r="AA879" i="5" s="1"/>
  <c r="W880" i="5"/>
  <c r="Y880" i="5" s="1"/>
  <c r="Z880" i="5" s="1"/>
  <c r="AA880" i="5" s="1"/>
  <c r="W881" i="5"/>
  <c r="Y881" i="5" s="1"/>
  <c r="Z881" i="5" s="1"/>
  <c r="AA881" i="5" s="1"/>
  <c r="W882" i="5"/>
  <c r="Y882" i="5" s="1"/>
  <c r="Z882" i="5" s="1"/>
  <c r="AA882" i="5" s="1"/>
  <c r="W883" i="5"/>
  <c r="Y883" i="5" s="1"/>
  <c r="Z883" i="5" s="1"/>
  <c r="AA883" i="5" s="1"/>
  <c r="W884" i="5"/>
  <c r="Y884" i="5" s="1"/>
  <c r="Z884" i="5" s="1"/>
  <c r="AA884" i="5" s="1"/>
  <c r="W885" i="5"/>
  <c r="Y885" i="5" s="1"/>
  <c r="Z885" i="5" s="1"/>
  <c r="AA885" i="5" s="1"/>
  <c r="W886" i="5"/>
  <c r="Y886" i="5" s="1"/>
  <c r="Z886" i="5" s="1"/>
  <c r="AA886" i="5" s="1"/>
  <c r="W887" i="5"/>
  <c r="Y887" i="5" s="1"/>
  <c r="Z887" i="5" s="1"/>
  <c r="AA887" i="5" s="1"/>
  <c r="W888" i="5"/>
  <c r="Y888" i="5" s="1"/>
  <c r="Z888" i="5" s="1"/>
  <c r="AA888" i="5" s="1"/>
  <c r="W889" i="5"/>
  <c r="Y889" i="5" s="1"/>
  <c r="Z889" i="5" s="1"/>
  <c r="AA889" i="5" s="1"/>
  <c r="W890" i="5"/>
  <c r="Y890" i="5" s="1"/>
  <c r="Z890" i="5" s="1"/>
  <c r="AA890" i="5" s="1"/>
  <c r="W891" i="5"/>
  <c r="Y891" i="5" s="1"/>
  <c r="Z891" i="5" s="1"/>
  <c r="AA891" i="5" s="1"/>
  <c r="W892" i="5"/>
  <c r="Y892" i="5" s="1"/>
  <c r="Z892" i="5" s="1"/>
  <c r="AA892" i="5" s="1"/>
  <c r="W893" i="5"/>
  <c r="Y893" i="5" s="1"/>
  <c r="Z893" i="5" s="1"/>
  <c r="AA893" i="5" s="1"/>
  <c r="W894" i="5"/>
  <c r="Y894" i="5" s="1"/>
  <c r="Z894" i="5" s="1"/>
  <c r="AA894" i="5" s="1"/>
  <c r="W895" i="5"/>
  <c r="Y895" i="5" s="1"/>
  <c r="Z895" i="5" s="1"/>
  <c r="AA895" i="5" s="1"/>
  <c r="W896" i="5"/>
  <c r="Y896" i="5" s="1"/>
  <c r="Z896" i="5" s="1"/>
  <c r="AA896" i="5" s="1"/>
  <c r="W897" i="5"/>
  <c r="Y897" i="5" s="1"/>
  <c r="Z897" i="5" s="1"/>
  <c r="AA897" i="5" s="1"/>
  <c r="W898" i="5"/>
  <c r="Y898" i="5" s="1"/>
  <c r="Z898" i="5" s="1"/>
  <c r="AA898" i="5" s="1"/>
  <c r="W899" i="5"/>
  <c r="Y899" i="5" s="1"/>
  <c r="Z899" i="5" s="1"/>
  <c r="AA899" i="5" s="1"/>
  <c r="W900" i="5"/>
  <c r="Y900" i="5" s="1"/>
  <c r="Z900" i="5" s="1"/>
  <c r="AA900" i="5" s="1"/>
  <c r="W901" i="5"/>
  <c r="Y901" i="5" s="1"/>
  <c r="Z901" i="5" s="1"/>
  <c r="AA901" i="5" s="1"/>
  <c r="W902" i="5"/>
  <c r="Y902" i="5" s="1"/>
  <c r="Z902" i="5" s="1"/>
  <c r="AA902" i="5" s="1"/>
  <c r="W903" i="5"/>
  <c r="Y903" i="5" s="1"/>
  <c r="Z903" i="5" s="1"/>
  <c r="AA903" i="5" s="1"/>
  <c r="W904" i="5"/>
  <c r="Y904" i="5" s="1"/>
  <c r="Z904" i="5" s="1"/>
  <c r="AA904" i="5" s="1"/>
  <c r="W905" i="5"/>
  <c r="Y905" i="5" s="1"/>
  <c r="Z905" i="5" s="1"/>
  <c r="AA905" i="5" s="1"/>
  <c r="W906" i="5"/>
  <c r="Y906" i="5" s="1"/>
  <c r="Z906" i="5" s="1"/>
  <c r="AA906" i="5" s="1"/>
  <c r="W907" i="5"/>
  <c r="Y907" i="5" s="1"/>
  <c r="Z907" i="5" s="1"/>
  <c r="AA907" i="5" s="1"/>
  <c r="W908" i="5"/>
  <c r="Y908" i="5" s="1"/>
  <c r="Z908" i="5" s="1"/>
  <c r="AA908" i="5" s="1"/>
  <c r="W909" i="5"/>
  <c r="Y909" i="5" s="1"/>
  <c r="Z909" i="5" s="1"/>
  <c r="AA909" i="5" s="1"/>
  <c r="W910" i="5"/>
  <c r="Y910" i="5" s="1"/>
  <c r="Z910" i="5" s="1"/>
  <c r="AA910" i="5" s="1"/>
  <c r="W911" i="5"/>
  <c r="Y911" i="5" s="1"/>
  <c r="Z911" i="5" s="1"/>
  <c r="AA911" i="5" s="1"/>
  <c r="W912" i="5"/>
  <c r="Y912" i="5" s="1"/>
  <c r="Z912" i="5" s="1"/>
  <c r="AA912" i="5" s="1"/>
  <c r="W913" i="5"/>
  <c r="Y913" i="5" s="1"/>
  <c r="Z913" i="5" s="1"/>
  <c r="AA913" i="5" s="1"/>
  <c r="W2" i="5"/>
  <c r="Y2" i="5" s="1"/>
  <c r="Z2" i="5" s="1"/>
  <c r="AA2" i="5" s="1"/>
  <c r="AD855" i="5" l="1"/>
  <c r="AD791" i="5"/>
  <c r="AD727" i="5"/>
  <c r="AD663" i="5"/>
  <c r="AD599" i="5"/>
  <c r="AD535" i="5"/>
  <c r="AD423" i="5"/>
  <c r="AD359" i="5"/>
  <c r="AD279" i="5"/>
  <c r="AD839" i="5"/>
  <c r="AD759" i="5"/>
  <c r="AD695" i="5"/>
  <c r="AD631" i="5"/>
  <c r="AD583" i="5"/>
  <c r="AD519" i="5"/>
  <c r="AD471" i="5"/>
  <c r="AD407" i="5"/>
  <c r="AD343" i="5"/>
  <c r="AD295" i="5"/>
  <c r="AD885" i="5"/>
  <c r="AD789" i="5"/>
  <c r="AD741" i="5"/>
  <c r="AD693" i="5"/>
  <c r="AD597" i="5"/>
  <c r="AD565" i="5"/>
  <c r="AD517" i="5"/>
  <c r="AD469" i="5"/>
  <c r="AD421" i="5"/>
  <c r="AD887" i="5"/>
  <c r="AD775" i="5"/>
  <c r="AD711" i="5"/>
  <c r="AD647" i="5"/>
  <c r="AD567" i="5"/>
  <c r="AD503" i="5"/>
  <c r="AD455" i="5"/>
  <c r="AD391" i="5"/>
  <c r="AD327" i="5"/>
  <c r="AD901" i="5"/>
  <c r="AD853" i="5"/>
  <c r="AD821" i="5"/>
  <c r="AD773" i="5"/>
  <c r="AD725" i="5"/>
  <c r="AD709" i="5"/>
  <c r="AD661" i="5"/>
  <c r="AD629" i="5"/>
  <c r="AD581" i="5"/>
  <c r="AD533" i="5"/>
  <c r="AD501" i="5"/>
  <c r="AD453" i="5"/>
  <c r="AD871" i="5"/>
  <c r="AD807" i="5"/>
  <c r="AD743" i="5"/>
  <c r="AD679" i="5"/>
  <c r="AD615" i="5"/>
  <c r="AD551" i="5"/>
  <c r="AD487" i="5"/>
  <c r="AD439" i="5"/>
  <c r="AD375" i="5"/>
  <c r="AD311" i="5"/>
  <c r="AD913" i="5"/>
  <c r="AD869" i="5"/>
  <c r="AD805" i="5"/>
  <c r="AD757" i="5"/>
  <c r="AD549" i="5"/>
  <c r="AD485" i="5"/>
  <c r="AD437" i="5"/>
  <c r="AD373" i="5"/>
  <c r="AD905" i="5"/>
  <c r="AD877" i="5"/>
  <c r="AD861" i="5"/>
  <c r="AD845" i="5"/>
  <c r="AD813" i="5"/>
  <c r="AD797" i="5"/>
  <c r="AD781" i="5"/>
  <c r="AD765" i="5"/>
  <c r="AD749" i="5"/>
  <c r="AD733" i="5"/>
  <c r="AD717" i="5"/>
  <c r="AD701" i="5"/>
  <c r="AD685" i="5"/>
  <c r="AD669" i="5"/>
  <c r="AD653" i="5"/>
  <c r="AD637" i="5"/>
  <c r="AD621" i="5"/>
  <c r="AD605" i="5"/>
  <c r="AD589" i="5"/>
  <c r="AD573" i="5"/>
  <c r="AD541" i="5"/>
  <c r="AD525" i="5"/>
  <c r="AD509" i="5"/>
  <c r="AD493" i="5"/>
  <c r="AD477" i="5"/>
  <c r="AD461" i="5"/>
  <c r="AD445" i="5"/>
  <c r="AD429" i="5"/>
  <c r="AD413" i="5"/>
  <c r="AD397" i="5"/>
  <c r="AD381" i="5"/>
  <c r="AD365" i="5"/>
  <c r="AD349" i="5"/>
  <c r="AD333" i="5"/>
  <c r="AD317" i="5"/>
  <c r="AD301" i="5"/>
  <c r="AD285" i="5"/>
  <c r="AD253" i="5"/>
  <c r="AD237" i="5"/>
  <c r="AD221" i="5"/>
  <c r="AD205" i="5"/>
  <c r="AD189" i="5"/>
  <c r="AD173" i="5"/>
  <c r="AD157" i="5"/>
  <c r="AD141" i="5"/>
  <c r="AD125" i="5"/>
  <c r="AD109" i="5"/>
  <c r="AD93" i="5"/>
  <c r="AD77" i="5"/>
  <c r="AD61" i="5"/>
  <c r="AD45" i="5"/>
  <c r="AD904" i="5"/>
  <c r="AD892" i="5"/>
  <c r="AD876" i="5"/>
  <c r="AD860" i="5"/>
  <c r="AD828" i="5"/>
  <c r="AD812" i="5"/>
  <c r="AD796" i="5"/>
  <c r="AD780" i="5"/>
  <c r="AD764" i="5"/>
  <c r="AD748" i="5"/>
  <c r="AD732" i="5"/>
  <c r="AD716" i="5"/>
  <c r="AD700" i="5"/>
  <c r="AD684" i="5"/>
  <c r="AD668" i="5"/>
  <c r="AD652" i="5"/>
  <c r="AD636" i="5"/>
  <c r="AD620" i="5"/>
  <c r="AD604" i="5"/>
  <c r="AD572" i="5"/>
  <c r="AD556" i="5"/>
  <c r="AD524" i="5"/>
  <c r="AD508" i="5"/>
  <c r="AD492" i="5"/>
  <c r="AD476" i="5"/>
  <c r="AD460" i="5"/>
  <c r="AD444" i="5"/>
  <c r="AD412" i="5"/>
  <c r="AD396" i="5"/>
  <c r="AD380" i="5"/>
  <c r="AD364" i="5"/>
  <c r="AD348" i="5"/>
  <c r="AD332" i="5"/>
  <c r="AD316" i="5"/>
  <c r="AD300" i="5"/>
  <c r="AD284" i="5"/>
  <c r="AD268" i="5"/>
  <c r="AD252" i="5"/>
  <c r="AD236" i="5"/>
  <c r="AD220" i="5"/>
  <c r="AD204" i="5"/>
  <c r="AD188" i="5"/>
  <c r="AD172" i="5"/>
  <c r="AD140" i="5"/>
  <c r="AD108" i="5"/>
  <c r="AD92" i="5"/>
  <c r="AD76" i="5"/>
  <c r="AD60" i="5"/>
  <c r="AD903" i="5"/>
  <c r="AD891" i="5"/>
  <c r="AD875" i="5"/>
  <c r="AD843" i="5"/>
  <c r="AD827" i="5"/>
  <c r="AD811" i="5"/>
  <c r="AD795" i="5"/>
  <c r="AD763" i="5"/>
  <c r="AD747" i="5"/>
  <c r="AD731" i="5"/>
  <c r="AD715" i="5"/>
  <c r="AD699" i="5"/>
  <c r="AD683" i="5"/>
  <c r="AD667" i="5"/>
  <c r="AD651" i="5"/>
  <c r="AD635" i="5"/>
  <c r="AD619" i="5"/>
  <c r="AD603" i="5"/>
  <c r="AD587" i="5"/>
  <c r="AD571" i="5"/>
  <c r="AD555" i="5"/>
  <c r="AD539" i="5"/>
  <c r="AD523" i="5"/>
  <c r="AD507" i="5"/>
  <c r="AD491" i="5"/>
  <c r="AD475" i="5"/>
  <c r="AD459" i="5"/>
  <c r="AD443" i="5"/>
  <c r="AD427" i="5"/>
  <c r="AD411" i="5"/>
  <c r="AD395" i="5"/>
  <c r="AD379" i="5"/>
  <c r="AD363" i="5"/>
  <c r="AD347" i="5"/>
  <c r="AD331" i="5"/>
  <c r="AD315" i="5"/>
  <c r="AD283" i="5"/>
  <c r="AD267" i="5"/>
  <c r="AD251" i="5"/>
  <c r="AD235" i="5"/>
  <c r="AD219" i="5"/>
  <c r="AD203" i="5"/>
  <c r="AD187" i="5"/>
  <c r="AD171" i="5"/>
  <c r="AD155" i="5"/>
  <c r="AD139" i="5"/>
  <c r="AD123" i="5"/>
  <c r="AD107" i="5"/>
  <c r="AD91" i="5"/>
  <c r="AD75" i="5"/>
  <c r="AD59" i="5"/>
  <c r="AD43" i="5"/>
  <c r="AD11" i="5"/>
  <c r="AD902" i="5"/>
  <c r="AD890" i="5"/>
  <c r="AD874" i="5"/>
  <c r="AD858" i="5"/>
  <c r="AD842" i="5"/>
  <c r="AD826" i="5"/>
  <c r="AD794" i="5"/>
  <c r="AD762" i="5"/>
  <c r="AD746" i="5"/>
  <c r="AD730" i="5"/>
  <c r="AD714" i="5"/>
  <c r="AD698" i="5"/>
  <c r="AD682" i="5"/>
  <c r="AD666" i="5"/>
  <c r="AD650" i="5"/>
  <c r="AD634" i="5"/>
  <c r="AD618" i="5"/>
  <c r="AD586" i="5"/>
  <c r="AD570" i="5"/>
  <c r="AD554" i="5"/>
  <c r="AD538" i="5"/>
  <c r="AD522" i="5"/>
  <c r="AD506" i="5"/>
  <c r="AD490" i="5"/>
  <c r="AD474" i="5"/>
  <c r="AD458" i="5"/>
  <c r="AD442" i="5"/>
  <c r="AD426" i="5"/>
  <c r="AD410" i="5"/>
  <c r="AD394" i="5"/>
  <c r="AD378" i="5"/>
  <c r="AD362" i="5"/>
  <c r="AD346" i="5"/>
  <c r="AD330" i="5"/>
  <c r="AD298" i="5"/>
  <c r="AD282" i="5"/>
  <c r="AD266" i="5"/>
  <c r="AD250" i="5"/>
  <c r="AD234" i="5"/>
  <c r="AD218" i="5"/>
  <c r="AD202" i="5"/>
  <c r="AD186" i="5"/>
  <c r="AD170" i="5"/>
  <c r="AD154" i="5"/>
  <c r="AD122" i="5"/>
  <c r="AD106" i="5"/>
  <c r="AD90" i="5"/>
  <c r="AD58" i="5"/>
  <c r="AD42" i="5"/>
  <c r="AD10" i="5"/>
  <c r="AD889" i="5"/>
  <c r="AD873" i="5"/>
  <c r="AD857" i="5"/>
  <c r="AD841" i="5"/>
  <c r="AD825" i="5"/>
  <c r="AD809" i="5"/>
  <c r="AD793" i="5"/>
  <c r="AD777" i="5"/>
  <c r="AD761" i="5"/>
  <c r="AD745" i="5"/>
  <c r="AD729" i="5"/>
  <c r="AD713" i="5"/>
  <c r="AD681" i="5"/>
  <c r="AD665" i="5"/>
  <c r="AD649" i="5"/>
  <c r="AD633" i="5"/>
  <c r="AD617" i="5"/>
  <c r="AD601" i="5"/>
  <c r="AD585" i="5"/>
  <c r="AD569" i="5"/>
  <c r="AD553" i="5"/>
  <c r="AD537" i="5"/>
  <c r="AD521" i="5"/>
  <c r="AD505" i="5"/>
  <c r="AD489" i="5"/>
  <c r="AD457" i="5"/>
  <c r="AD441" i="5"/>
  <c r="AD425" i="5"/>
  <c r="AD409" i="5"/>
  <c r="AD393" i="5"/>
  <c r="AD377" i="5"/>
  <c r="AD361" i="5"/>
  <c r="AD345" i="5"/>
  <c r="AD329" i="5"/>
  <c r="AD297" i="5"/>
  <c r="AD281" i="5"/>
  <c r="AD265" i="5"/>
  <c r="AD249" i="5"/>
  <c r="AD233" i="5"/>
  <c r="AD217" i="5"/>
  <c r="AD201" i="5"/>
  <c r="AD185" i="5"/>
  <c r="AD169" i="5"/>
  <c r="AD153" i="5"/>
  <c r="AD137" i="5"/>
  <c r="AD121" i="5"/>
  <c r="AD105" i="5"/>
  <c r="AD89" i="5"/>
  <c r="AD73" i="5"/>
  <c r="AD57" i="5"/>
  <c r="AD41" i="5"/>
  <c r="AD25" i="5"/>
  <c r="AD9" i="5"/>
  <c r="AD872" i="5"/>
  <c r="AD856" i="5"/>
  <c r="AD840" i="5"/>
  <c r="AD808" i="5"/>
  <c r="AD792" i="5"/>
  <c r="AD776" i="5"/>
  <c r="AD760" i="5"/>
  <c r="AD744" i="5"/>
  <c r="AD728" i="5"/>
  <c r="AD712" i="5"/>
  <c r="AD696" i="5"/>
  <c r="AD680" i="5"/>
  <c r="AD664" i="5"/>
  <c r="AD648" i="5"/>
  <c r="AD632" i="5"/>
  <c r="AD600" i="5"/>
  <c r="AD584" i="5"/>
  <c r="AD568" i="5"/>
  <c r="AD552" i="5"/>
  <c r="AD536" i="5"/>
  <c r="AD504" i="5"/>
  <c r="AD488" i="5"/>
  <c r="AD472" i="5"/>
  <c r="AD456" i="5"/>
  <c r="AD424" i="5"/>
  <c r="AD408" i="5"/>
  <c r="AD392" i="5"/>
  <c r="AD376" i="5"/>
  <c r="AD328" i="5"/>
  <c r="AD312" i="5"/>
  <c r="AD296" i="5"/>
  <c r="AD264" i="5"/>
  <c r="AD248" i="5"/>
  <c r="AD216" i="5"/>
  <c r="AD200" i="5"/>
  <c r="AD184" i="5"/>
  <c r="AD168" i="5"/>
  <c r="AD136" i="5"/>
  <c r="AD120" i="5"/>
  <c r="AD104" i="5"/>
  <c r="AD2" i="5"/>
  <c r="AD886" i="5"/>
  <c r="AD854" i="5"/>
  <c r="AD838" i="5"/>
  <c r="AD822" i="5"/>
  <c r="AD774" i="5"/>
  <c r="AD758" i="5"/>
  <c r="AD742" i="5"/>
  <c r="AD726" i="5"/>
  <c r="AD710" i="5"/>
  <c r="AD694" i="5"/>
  <c r="AD678" i="5"/>
  <c r="AD662" i="5"/>
  <c r="AD646" i="5"/>
  <c r="AD630" i="5"/>
  <c r="AD614" i="5"/>
  <c r="AD598" i="5"/>
  <c r="AD566" i="5"/>
  <c r="AD550" i="5"/>
  <c r="AD534" i="5"/>
  <c r="AD518" i="5"/>
  <c r="AD502" i="5"/>
  <c r="AD486" i="5"/>
  <c r="AD438" i="5"/>
  <c r="AD422" i="5"/>
  <c r="AD406" i="5"/>
  <c r="AD390" i="5"/>
  <c r="AD374" i="5"/>
  <c r="AD358" i="5"/>
  <c r="AD342" i="5"/>
  <c r="AD310" i="5"/>
  <c r="AD294" i="5"/>
  <c r="AD278" i="5"/>
  <c r="AD262" i="5"/>
  <c r="AD246" i="5"/>
  <c r="AD230" i="5"/>
  <c r="AD214" i="5"/>
  <c r="AD198" i="5"/>
  <c r="AD182" i="5"/>
  <c r="AD166" i="5"/>
  <c r="AD150" i="5"/>
  <c r="AD134" i="5"/>
  <c r="AD118" i="5"/>
  <c r="AD912" i="5"/>
  <c r="AD900" i="5"/>
  <c r="AD884" i="5"/>
  <c r="AD868" i="5"/>
  <c r="AD852" i="5"/>
  <c r="AD836" i="5"/>
  <c r="AD804" i="5"/>
  <c r="AD788" i="5"/>
  <c r="AD772" i="5"/>
  <c r="AD756" i="5"/>
  <c r="AD740" i="5"/>
  <c r="AD724" i="5"/>
  <c r="AD708" i="5"/>
  <c r="AD692" i="5"/>
  <c r="AD676" i="5"/>
  <c r="AD660" i="5"/>
  <c r="AD644" i="5"/>
  <c r="AD628" i="5"/>
  <c r="AD612" i="5"/>
  <c r="AD596" i="5"/>
  <c r="AD580" i="5"/>
  <c r="AD564" i="5"/>
  <c r="AD548" i="5"/>
  <c r="AD532" i="5"/>
  <c r="AD516" i="5"/>
  <c r="AD500" i="5"/>
  <c r="AD484" i="5"/>
  <c r="AD452" i="5"/>
  <c r="AD436" i="5"/>
  <c r="AD420" i="5"/>
  <c r="AD404" i="5"/>
  <c r="AD388" i="5"/>
  <c r="AD372" i="5"/>
  <c r="AD356" i="5"/>
  <c r="AD340" i="5"/>
  <c r="AD324" i="5"/>
  <c r="AD911" i="5"/>
  <c r="AD899" i="5"/>
  <c r="AD851" i="5"/>
  <c r="AD835" i="5"/>
  <c r="AD819" i="5"/>
  <c r="AD803" i="5"/>
  <c r="AD787" i="5"/>
  <c r="AD771" i="5"/>
  <c r="AD755" i="5"/>
  <c r="AD739" i="5"/>
  <c r="AD723" i="5"/>
  <c r="AD707" i="5"/>
  <c r="AD691" i="5"/>
  <c r="AD675" i="5"/>
  <c r="AD659" i="5"/>
  <c r="AD643" i="5"/>
  <c r="AD627" i="5"/>
  <c r="AD611" i="5"/>
  <c r="AD595" i="5"/>
  <c r="AD579" i="5"/>
  <c r="AD563" i="5"/>
  <c r="AD547" i="5"/>
  <c r="AD531" i="5"/>
  <c r="AD515" i="5"/>
  <c r="AD499" i="5"/>
  <c r="AD483" i="5"/>
  <c r="AD467" i="5"/>
  <c r="AD451" i="5"/>
  <c r="AD435" i="5"/>
  <c r="AD419" i="5"/>
  <c r="AD403" i="5"/>
  <c r="AD387" i="5"/>
  <c r="AD371" i="5"/>
  <c r="AD355" i="5"/>
  <c r="AD339" i="5"/>
  <c r="AD323" i="5"/>
  <c r="AD307" i="5"/>
  <c r="AD291" i="5"/>
  <c r="AD275" i="5"/>
  <c r="AD259" i="5"/>
  <c r="AD898" i="5"/>
  <c r="AD850" i="5"/>
  <c r="AD834" i="5"/>
  <c r="AD818" i="5"/>
  <c r="AD802" i="5"/>
  <c r="AD786" i="5"/>
  <c r="AD770" i="5"/>
  <c r="AD754" i="5"/>
  <c r="AD722" i="5"/>
  <c r="AD706" i="5"/>
  <c r="AD690" i="5"/>
  <c r="AD674" i="5"/>
  <c r="AD642" i="5"/>
  <c r="AD626" i="5"/>
  <c r="AD610" i="5"/>
  <c r="AD578" i="5"/>
  <c r="AD562" i="5"/>
  <c r="AD546" i="5"/>
  <c r="AD514" i="5"/>
  <c r="AD498" i="5"/>
  <c r="AD482" i="5"/>
  <c r="AD909" i="5"/>
  <c r="AD897" i="5"/>
  <c r="AD881" i="5"/>
  <c r="AD865" i="5"/>
  <c r="AD849" i="5"/>
  <c r="AD817" i="5"/>
  <c r="AD801" i="5"/>
  <c r="AD785" i="5"/>
  <c r="AD769" i="5"/>
  <c r="AD753" i="5"/>
  <c r="AD737" i="5"/>
  <c r="AD721" i="5"/>
  <c r="AD705" i="5"/>
  <c r="AD689" i="5"/>
  <c r="AD673" i="5"/>
  <c r="AD657" i="5"/>
  <c r="AD641" i="5"/>
  <c r="AD625" i="5"/>
  <c r="AD609" i="5"/>
  <c r="AD593" i="5"/>
  <c r="AD577" i="5"/>
  <c r="AD561" i="5"/>
  <c r="AD545" i="5"/>
  <c r="AD529" i="5"/>
  <c r="AD513" i="5"/>
  <c r="AD497" i="5"/>
  <c r="AD433" i="5"/>
  <c r="AD417" i="5"/>
  <c r="AD401" i="5"/>
  <c r="AD385" i="5"/>
  <c r="AD369" i="5"/>
  <c r="AD353" i="5"/>
  <c r="AD337" i="5"/>
  <c r="AD321" i="5"/>
  <c r="AD305" i="5"/>
  <c r="AD273" i="5"/>
  <c r="AD257" i="5"/>
  <c r="AD241" i="5"/>
  <c r="AD225" i="5"/>
  <c r="AD209" i="5"/>
  <c r="AD193" i="5"/>
  <c r="AD177" i="5"/>
  <c r="AD161" i="5"/>
  <c r="AD145" i="5"/>
  <c r="AD113" i="5"/>
  <c r="AD97" i="5"/>
  <c r="AD81" i="5"/>
  <c r="AD33" i="5"/>
  <c r="AD17" i="5"/>
  <c r="AD908" i="5"/>
  <c r="AD896" i="5"/>
  <c r="AD880" i="5"/>
  <c r="AD864" i="5"/>
  <c r="AD848" i="5"/>
  <c r="AD832" i="5"/>
  <c r="AD816" i="5"/>
  <c r="AD800" i="5"/>
  <c r="AD784" i="5"/>
  <c r="AD768" i="5"/>
  <c r="AD752" i="5"/>
  <c r="AD736" i="5"/>
  <c r="AD720" i="5"/>
  <c r="AD704" i="5"/>
  <c r="AD688" i="5"/>
  <c r="AD672" i="5"/>
  <c r="AD656" i="5"/>
  <c r="AD640" i="5"/>
  <c r="AD624" i="5"/>
  <c r="AD608" i="5"/>
  <c r="AD592" i="5"/>
  <c r="AD576" i="5"/>
  <c r="AD560" i="5"/>
  <c r="AD544" i="5"/>
  <c r="AD528" i="5"/>
  <c r="AD512" i="5"/>
  <c r="AD496" i="5"/>
  <c r="AD480" i="5"/>
  <c r="AD464" i="5"/>
  <c r="AD448" i="5"/>
  <c r="AD416" i="5"/>
  <c r="AD400" i="5"/>
  <c r="AD384" i="5"/>
  <c r="AD368" i="5"/>
  <c r="AD336" i="5"/>
  <c r="AD320" i="5"/>
  <c r="AD304" i="5"/>
  <c r="AD288" i="5"/>
  <c r="AD272" i="5"/>
  <c r="AD256" i="5"/>
  <c r="AD240" i="5"/>
  <c r="AD224" i="5"/>
  <c r="AD208" i="5"/>
  <c r="AD192" i="5"/>
  <c r="AD160" i="5"/>
  <c r="AD128" i="5"/>
  <c r="AD112" i="5"/>
  <c r="AD96" i="5"/>
  <c r="AD80" i="5"/>
  <c r="AD48" i="5"/>
  <c r="AD32" i="5"/>
  <c r="AD16" i="5"/>
  <c r="AD907" i="5"/>
  <c r="AD895" i="5"/>
  <c r="AD879" i="5"/>
  <c r="AD863" i="5"/>
  <c r="AD847" i="5"/>
  <c r="AD831" i="5"/>
  <c r="AD815" i="5"/>
  <c r="AD799" i="5"/>
  <c r="AD783" i="5"/>
  <c r="AD767" i="5"/>
  <c r="AD751" i="5"/>
  <c r="AD735" i="5"/>
  <c r="AD703" i="5"/>
  <c r="AD687" i="5"/>
  <c r="AD671" i="5"/>
  <c r="AD655" i="5"/>
  <c r="AD639" i="5"/>
  <c r="AD607" i="5"/>
  <c r="AD591" i="5"/>
  <c r="AD575" i="5"/>
  <c r="AD559" i="5"/>
  <c r="AD527" i="5"/>
  <c r="AD511" i="5"/>
  <c r="AD495" i="5"/>
  <c r="AD479" i="5"/>
  <c r="AD463" i="5"/>
  <c r="AD431" i="5"/>
  <c r="AD415" i="5"/>
  <c r="AD399" i="5"/>
  <c r="AD383" i="5"/>
  <c r="AD367" i="5"/>
  <c r="AD351" i="5"/>
  <c r="AD335" i="5"/>
  <c r="AD319" i="5"/>
  <c r="AD287" i="5"/>
  <c r="AD271" i="5"/>
  <c r="AD255" i="5"/>
  <c r="AD239" i="5"/>
  <c r="AD207" i="5"/>
  <c r="AD191" i="5"/>
  <c r="AD175" i="5"/>
  <c r="AD159" i="5"/>
  <c r="AD143" i="5"/>
  <c r="AD127" i="5"/>
  <c r="AD111" i="5"/>
  <c r="AD95" i="5"/>
  <c r="AD79" i="5"/>
  <c r="AD63" i="5"/>
  <c r="AD47" i="5"/>
  <c r="AD31" i="5"/>
  <c r="AD15" i="5"/>
  <c r="AD906" i="5"/>
  <c r="AD894" i="5"/>
  <c r="AD878" i="5"/>
  <c r="AD862" i="5"/>
  <c r="AD846" i="5"/>
  <c r="AD830" i="5"/>
  <c r="AD814" i="5"/>
  <c r="AD798" i="5"/>
  <c r="AD782" i="5"/>
  <c r="AD766" i="5"/>
  <c r="AD750" i="5"/>
  <c r="AD734" i="5"/>
  <c r="AD718" i="5"/>
  <c r="AD702" i="5"/>
  <c r="AD686" i="5"/>
  <c r="AD670" i="5"/>
  <c r="AD654" i="5"/>
  <c r="AD638" i="5"/>
  <c r="AD622" i="5"/>
  <c r="AD590" i="5"/>
  <c r="AD574" i="5"/>
  <c r="AD558" i="5"/>
  <c r="AD526" i="5"/>
  <c r="AD510" i="5"/>
  <c r="AD494" i="5"/>
  <c r="AD478" i="5"/>
  <c r="AD462" i="5"/>
  <c r="AD446" i="5"/>
  <c r="AD430" i="5"/>
  <c r="AD414" i="5"/>
  <c r="AD398" i="5"/>
  <c r="AD382" i="5"/>
  <c r="AD366" i="5"/>
  <c r="AD350" i="5"/>
  <c r="AD334" i="5"/>
  <c r="AD318" i="5"/>
  <c r="AD302" i="5"/>
  <c r="AD286" i="5"/>
  <c r="AD270" i="5"/>
  <c r="AD254" i="5"/>
  <c r="AD238" i="5"/>
  <c r="AD222" i="5"/>
  <c r="AD206" i="5"/>
  <c r="AD190" i="5"/>
  <c r="AD174" i="5"/>
  <c r="AD158" i="5"/>
  <c r="AD142" i="5"/>
  <c r="AD126" i="5"/>
  <c r="AD110" i="5"/>
  <c r="AD94" i="5"/>
  <c r="AD78" i="5"/>
  <c r="AD62" i="5"/>
  <c r="AD46" i="5"/>
  <c r="AD14" i="5"/>
  <c r="AD13" i="5"/>
  <c r="AD44" i="5"/>
  <c r="AD28" i="5"/>
  <c r="AD12" i="5"/>
  <c r="AD88" i="5"/>
  <c r="AD72" i="5"/>
  <c r="AD56" i="5"/>
  <c r="AD40" i="5"/>
  <c r="AD24" i="5"/>
  <c r="AD8" i="5"/>
  <c r="AD263" i="5"/>
  <c r="AD247" i="5"/>
  <c r="AD231" i="5"/>
  <c r="AD215" i="5"/>
  <c r="AD199" i="5"/>
  <c r="AD183" i="5"/>
  <c r="AD167" i="5"/>
  <c r="AD151" i="5"/>
  <c r="AD135" i="5"/>
  <c r="AD119" i="5"/>
  <c r="AD103" i="5"/>
  <c r="AD87" i="5"/>
  <c r="AD71" i="5"/>
  <c r="AD55" i="5"/>
  <c r="AD39" i="5"/>
  <c r="AD23" i="5"/>
  <c r="AD7" i="5"/>
  <c r="AD102" i="5"/>
  <c r="AD86" i="5"/>
  <c r="AD70" i="5"/>
  <c r="AD54" i="5"/>
  <c r="AD38" i="5"/>
  <c r="AD22" i="5"/>
  <c r="AD6" i="5"/>
  <c r="AD341" i="5"/>
  <c r="AD325" i="5"/>
  <c r="AD309" i="5"/>
  <c r="AD293" i="5"/>
  <c r="AD277" i="5"/>
  <c r="AD261" i="5"/>
  <c r="AD245" i="5"/>
  <c r="AD229" i="5"/>
  <c r="AD213" i="5"/>
  <c r="AD197" i="5"/>
  <c r="AD181" i="5"/>
  <c r="AD165" i="5"/>
  <c r="AD149" i="5"/>
  <c r="AD133" i="5"/>
  <c r="AD117" i="5"/>
  <c r="AD101" i="5"/>
  <c r="AD85" i="5"/>
  <c r="AD69" i="5"/>
  <c r="AD53" i="5"/>
  <c r="AD37" i="5"/>
  <c r="AD21" i="5"/>
  <c r="AD5" i="5"/>
  <c r="AD308" i="5"/>
  <c r="AD292" i="5"/>
  <c r="AD260" i="5"/>
  <c r="AD244" i="5"/>
  <c r="AD212" i="5"/>
  <c r="AD196" i="5"/>
  <c r="AD180" i="5"/>
  <c r="AD164" i="5"/>
  <c r="AD148" i="5"/>
  <c r="AD132" i="5"/>
  <c r="AD116" i="5"/>
  <c r="AD100" i="5"/>
  <c r="AD68" i="5"/>
  <c r="AD52" i="5"/>
  <c r="AD36" i="5"/>
  <c r="AD20" i="5"/>
  <c r="AD4" i="5"/>
  <c r="AD227" i="5"/>
  <c r="AD211" i="5"/>
  <c r="AD195" i="5"/>
  <c r="AD179" i="5"/>
  <c r="AD163" i="5"/>
  <c r="AD131" i="5"/>
  <c r="AD115" i="5"/>
  <c r="AD99" i="5"/>
  <c r="AD83" i="5"/>
  <c r="AD67" i="5"/>
  <c r="AD51" i="5"/>
  <c r="AD35" i="5"/>
  <c r="AD19" i="5"/>
  <c r="AD3" i="5"/>
  <c r="AD450" i="5"/>
  <c r="AD418" i="5"/>
  <c r="AD402" i="5"/>
  <c r="AD386" i="5"/>
  <c r="AD370" i="5"/>
  <c r="AD354" i="5"/>
  <c r="AD338" i="5"/>
  <c r="AD322" i="5"/>
  <c r="AD306" i="5"/>
  <c r="AD290" i="5"/>
  <c r="AD274" i="5"/>
  <c r="AD242" i="5"/>
  <c r="AD226" i="5"/>
  <c r="AD194" i="5"/>
  <c r="AD178" i="5"/>
  <c r="AD162" i="5"/>
  <c r="AD130" i="5"/>
  <c r="AD114" i="5"/>
  <c r="AD98" i="5"/>
  <c r="AD82" i="5"/>
  <c r="AD66" i="5"/>
  <c r="AD50" i="5"/>
  <c r="AD34" i="5"/>
  <c r="AD1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B49E7-C7A3-4E72-BCFD-7189EECFE71E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<sst xmlns="http://schemas.openxmlformats.org/spreadsheetml/2006/main" count="25891" uniqueCount="4120">
  <si>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</si>
  <si>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</si>
  <si>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</si>
  <si>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</si>
  <si>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</si>
  <si>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</si>
  <si>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</si>
  <si>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</si>
  <si>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</si>
  <si>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</si>
  <si>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</si>
  <si>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</si>
  <si>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</si>
  <si>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</si>
  <si>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</si>
  <si>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</si>
  <si>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</si>
  <si>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</si>
  <si>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</si>
  <si>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</si>
  <si>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</si>
  <si>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</si>
  <si>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</si>
  <si>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</si>
  <si>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</si>
  <si>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</si>
  <si>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</si>
  <si>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</si>
  <si>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</si>
  <si>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</si>
  <si>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</si>
  <si>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</si>
  <si>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</si>
  <si>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</si>
  <si>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</si>
  <si>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</si>
  <si>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</si>
  <si>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</si>
  <si>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</si>
  <si>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</si>
  <si>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</si>
  <si>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</si>
  <si>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</si>
  <si>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</si>
  <si>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</si>
  <si>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</si>
  <si>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</si>
  <si>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</si>
  <si>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</si>
  <si>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</si>
  <si>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</si>
  <si>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</si>
  <si>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</si>
  <si>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</si>
  <si>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</si>
  <si>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</si>
  <si>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</si>
  <si>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</si>
  <si>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</si>
  <si>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</si>
  <si>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</si>
  <si>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</si>
  <si>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</si>
  <si>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</si>
  <si>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</si>
  <si>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</si>
  <si>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</si>
  <si>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</si>
  <si>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</si>
  <si>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</si>
  <si>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</si>
  <si>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</si>
  <si>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</si>
  <si>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</si>
  <si>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</si>
  <si>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</si>
  <si>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</si>
  <si>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</si>
  <si>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</si>
  <si>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</si>
  <si>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</si>
  <si>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</si>
  <si>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</si>
  <si>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</si>
  <si>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</si>
  <si>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</si>
  <si>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</si>
  <si>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</si>
  <si>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</si>
  <si>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</si>
  <si>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</si>
  <si>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</si>
  <si>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</si>
  <si>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</si>
  <si>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</si>
  <si>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</si>
  <si>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</si>
  <si>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</si>
  <si>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</si>
  <si>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</si>
  <si>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</si>
  <si>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</si>
  <si>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</si>
  <si>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</si>
  <si>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</si>
  <si>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</si>
  <si>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</si>
  <si>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</si>
  <si>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</si>
  <si>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</si>
  <si>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</si>
  <si>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</si>
  <si>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</si>
  <si>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</si>
  <si>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</si>
  <si>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</si>
  <si>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</si>
  <si>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</si>
  <si>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</si>
  <si>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</si>
  <si>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</si>
  <si>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</si>
  <si>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</si>
  <si>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</si>
  <si>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</si>
  <si>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</si>
  <si>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</si>
  <si>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</si>
  <si>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</si>
  <si>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</si>
  <si>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</si>
  <si>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</si>
  <si>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</si>
  <si>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</si>
  <si>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</si>
  <si>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</si>
  <si>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</si>
  <si>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</si>
  <si>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</si>
  <si>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</si>
  <si>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</si>
  <si>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</si>
  <si>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</si>
  <si>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</si>
  <si>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</si>
  <si>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</si>
  <si>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</si>
  <si>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</si>
  <si>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</si>
  <si>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</si>
  <si>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</si>
  <si>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</si>
  <si>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</si>
  <si>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</si>
  <si>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</si>
  <si>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</si>
  <si>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</si>
  <si>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</si>
  <si>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</si>
  <si>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</si>
  <si>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</si>
  <si>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</si>
  <si>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</si>
  <si>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</si>
  <si>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</si>
  <si>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</si>
  <si>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</si>
  <si>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</si>
  <si>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</si>
  <si>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</si>
  <si>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</si>
  <si>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</si>
  <si>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</si>
  <si>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</si>
  <si>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</si>
  <si>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</si>
  <si>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</si>
  <si>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</si>
  <si>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</si>
  <si>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</si>
  <si>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</si>
  <si>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</si>
  <si>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</si>
  <si>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</si>
  <si>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</si>
  <si>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</si>
  <si>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</si>
  <si>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</si>
  <si>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</si>
  <si>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</si>
  <si>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</si>
  <si>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</si>
  <si>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</si>
  <si>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</si>
  <si>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</si>
  <si>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</si>
  <si>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</si>
  <si>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</si>
  <si>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</si>
  <si>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</si>
  <si>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</si>
  <si>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</si>
  <si>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</si>
  <si>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</si>
  <si>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</si>
  <si>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</si>
  <si>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</si>
  <si>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</si>
  <si>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</si>
  <si>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</si>
  <si>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</si>
  <si>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</si>
  <si>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</si>
  <si>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</si>
  <si>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</si>
  <si>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</si>
  <si>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</si>
  <si>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</si>
  <si>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</si>
  <si>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</si>
  <si>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</si>
  <si>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</si>
  <si>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</si>
  <si>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</si>
  <si>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</si>
  <si>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</si>
  <si>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</si>
  <si>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</si>
  <si>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</si>
  <si>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</si>
  <si>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</si>
  <si>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</si>
  <si>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</si>
  <si>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</si>
  <si>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</si>
  <si>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</si>
  <si>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</si>
  <si>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</si>
  <si>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</si>
  <si>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</si>
  <si>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</si>
  <si>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</si>
  <si>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</si>
  <si>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</si>
  <si>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</si>
  <si>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</si>
  <si>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</si>
  <si>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</si>
  <si>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</si>
  <si>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</si>
  <si>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</si>
  <si>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</si>
  <si>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</si>
  <si>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</si>
  <si>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</si>
  <si>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</si>
  <si>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</si>
  <si>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</si>
  <si>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</si>
  <si>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</si>
  <si>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</si>
  <si>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</si>
  <si>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</si>
  <si>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</si>
  <si>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</si>
  <si>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</si>
  <si>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</si>
  <si>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</si>
  <si>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</si>
  <si>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</si>
  <si>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</si>
  <si>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</si>
  <si>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</si>
  <si>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</si>
  <si>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</si>
  <si>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</si>
  <si>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</si>
  <si>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</si>
  <si>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</si>
  <si>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</si>
  <si>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</si>
  <si>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</si>
  <si>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</si>
  <si>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</si>
  <si>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</si>
  <si>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</si>
  <si>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</si>
  <si>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</si>
  <si>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</si>
  <si>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</si>
  <si>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</si>
  <si>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</si>
  <si>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</si>
  <si>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</si>
  <si>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</si>
  <si>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</si>
  <si>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</si>
  <si>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</si>
  <si>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</si>
  <si>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</si>
  <si>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</si>
  <si>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</si>
  <si>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</si>
  <si>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</si>
  <si>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</si>
  <si>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</si>
  <si>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</si>
  <si>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</si>
  <si>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</si>
  <si>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</si>
  <si>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</si>
  <si>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</si>
  <si>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</si>
  <si>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</si>
  <si>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</si>
  <si>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</si>
  <si>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</si>
  <si>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</si>
  <si>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</si>
  <si>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</si>
  <si>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</si>
  <si>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</si>
  <si>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</si>
  <si>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</si>
  <si>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</si>
  <si>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</si>
  <si>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</si>
  <si>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</si>
  <si>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</si>
  <si>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</si>
  <si>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</si>
  <si>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</si>
  <si>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</si>
  <si>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</si>
  <si>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</si>
  <si>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</si>
  <si>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</si>
  <si>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</si>
  <si>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</si>
  <si>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</si>
  <si>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</si>
  <si>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</si>
  <si>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</si>
  <si>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</si>
  <si>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</si>
  <si>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</si>
  <si>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</si>
  <si>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</si>
  <si>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</si>
  <si>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</si>
  <si>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</si>
  <si>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</si>
  <si>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</si>
  <si>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</si>
  <si>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</si>
  <si>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</si>
  <si>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</si>
  <si>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</si>
  <si>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</si>
  <si>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</si>
  <si>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</si>
  <si>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</si>
  <si>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</si>
  <si>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</si>
  <si>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</si>
  <si>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</si>
  <si>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</si>
  <si>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</si>
  <si>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</si>
  <si>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</si>
  <si>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</si>
  <si>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</si>
  <si>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</si>
  <si>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</si>
  <si>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</si>
  <si>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</si>
  <si>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</si>
  <si>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</si>
  <si>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</si>
  <si>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</si>
  <si>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</si>
  <si>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</si>
  <si>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</si>
  <si>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</si>
  <si>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</si>
  <si>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</si>
  <si>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</si>
  <si>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</si>
  <si>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</si>
  <si>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</si>
  <si>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</si>
  <si>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</si>
  <si>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</si>
  <si>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</si>
  <si>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</si>
  <si>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</si>
  <si>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</si>
  <si>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</si>
  <si>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</si>
  <si>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</si>
  <si>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</si>
  <si>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</si>
  <si>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</si>
  <si>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</si>
  <si>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</si>
  <si>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</si>
  <si>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</si>
  <si>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</si>
  <si>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</si>
  <si>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</si>
  <si>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</si>
  <si>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</si>
  <si>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</si>
  <si>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</si>
  <si>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</si>
  <si>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</si>
  <si>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</si>
  <si>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</si>
  <si>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</si>
  <si>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</si>
  <si>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</si>
  <si>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</si>
  <si>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</si>
  <si>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</si>
  <si>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</si>
  <si>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</si>
  <si>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</si>
  <si>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</si>
  <si>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</si>
  <si>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</si>
  <si>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</si>
  <si>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</si>
  <si>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</si>
  <si>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</si>
  <si>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</si>
  <si>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</si>
  <si>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</si>
  <si>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</si>
  <si>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</si>
  <si>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</si>
  <si>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</si>
  <si>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</si>
  <si>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</si>
  <si>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</si>
  <si>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</si>
  <si>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</si>
  <si>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</si>
  <si>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</si>
  <si>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</si>
  <si>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</si>
  <si>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</si>
  <si>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</si>
  <si>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</si>
  <si>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</si>
  <si>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</si>
  <si>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</si>
  <si>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</si>
  <si>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</si>
  <si>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</si>
  <si>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</si>
  <si>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</si>
  <si>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</si>
  <si>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</si>
  <si>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</si>
  <si>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</si>
  <si>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</si>
  <si>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</si>
  <si>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</si>
  <si>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</si>
  <si>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</si>
  <si>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</si>
  <si>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</si>
  <si>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</si>
  <si>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</si>
  <si>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</si>
  <si>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</si>
  <si>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</si>
  <si>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</si>
  <si>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</si>
  <si>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</si>
  <si>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</si>
  <si>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</si>
  <si>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</si>
  <si>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</si>
  <si>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</si>
  <si>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</si>
  <si>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</si>
  <si>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</si>
  <si>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</si>
  <si>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</si>
  <si>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</si>
  <si>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</si>
  <si>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</si>
  <si>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</si>
  <si>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</si>
  <si>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</si>
  <si>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</si>
  <si>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</si>
  <si>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</si>
  <si>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</si>
  <si>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</si>
  <si>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</si>
  <si>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</si>
  <si>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</si>
  <si>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</si>
  <si>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</si>
  <si>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</si>
  <si>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</si>
  <si>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</si>
  <si>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</si>
  <si>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</si>
  <si>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</si>
  <si>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</si>
  <si>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</si>
  <si>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</si>
  <si>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</si>
  <si>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</si>
  <si>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</si>
  <si>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</si>
  <si>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</si>
  <si>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</si>
  <si>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</si>
  <si>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</si>
  <si>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</si>
  <si>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</si>
  <si>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</si>
  <si>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</si>
  <si>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</si>
  <si>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</si>
  <si>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</si>
  <si>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</si>
  <si>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</si>
  <si>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</si>
  <si>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</si>
  <si>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</si>
  <si>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</si>
  <si>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</si>
  <si>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</si>
  <si>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</si>
  <si>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</si>
  <si>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</si>
  <si>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</si>
  <si>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</si>
  <si>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</si>
  <si>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</si>
  <si>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</si>
  <si>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</si>
  <si>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</si>
  <si>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</si>
  <si>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</si>
  <si>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</si>
  <si>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</si>
  <si>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</si>
  <si>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</si>
  <si>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</si>
  <si>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</si>
  <si>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</si>
  <si>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</si>
  <si>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</si>
  <si>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</si>
  <si>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</si>
  <si>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</si>
  <si>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</si>
  <si>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</si>
  <si>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</si>
  <si>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</si>
  <si>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</si>
  <si>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</si>
  <si>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</si>
  <si>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</si>
  <si>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</si>
  <si>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</si>
  <si>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</si>
  <si>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</si>
  <si>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</si>
  <si>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</si>
  <si>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</si>
  <si>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</si>
  <si>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</si>
  <si>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</si>
  <si>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</si>
  <si>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</si>
  <si>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</si>
  <si>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</si>
  <si>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</si>
  <si>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</si>
  <si>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</si>
  <si>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</si>
  <si>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</si>
  <si>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</si>
  <si>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</si>
  <si>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</si>
  <si>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</si>
  <si>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</si>
  <si>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</si>
  <si>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</si>
  <si>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</si>
  <si>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</si>
  <si>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</si>
  <si>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</si>
  <si>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</si>
  <si>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</si>
  <si>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</si>
  <si>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</si>
  <si>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</si>
  <si>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</si>
  <si>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</si>
  <si>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</si>
  <si>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</si>
  <si>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</si>
  <si>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</si>
  <si>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</si>
  <si>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</si>
  <si>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</si>
  <si>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</si>
  <si>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</si>
  <si>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</si>
  <si>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</si>
  <si>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</si>
  <si>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</si>
  <si>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</si>
  <si>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</si>
  <si>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</si>
  <si>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</si>
  <si>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</si>
  <si>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</si>
  <si>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</si>
  <si>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</si>
  <si>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</si>
  <si>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</si>
  <si>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</si>
  <si>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</si>
  <si>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</si>
  <si>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</si>
  <si>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</si>
  <si>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</si>
  <si>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</si>
  <si>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</si>
  <si>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</si>
  <si>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</si>
  <si>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</si>
  <si>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</si>
  <si>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</si>
  <si>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</si>
  <si>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</si>
  <si>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</si>
  <si>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</si>
  <si>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</si>
  <si>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</si>
  <si>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</si>
  <si>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</si>
  <si>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</si>
  <si>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</si>
  <si>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</si>
  <si>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</si>
  <si>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</si>
  <si>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</si>
  <si>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</si>
  <si>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</si>
  <si>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</si>
  <si>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</si>
  <si>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</si>
  <si>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</si>
  <si>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</si>
  <si>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</si>
  <si>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</si>
  <si>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</si>
  <si>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</si>
  <si>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</si>
  <si>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</si>
  <si>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</si>
  <si>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</si>
  <si>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</si>
  <si>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</si>
  <si>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</si>
  <si>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</si>
  <si>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</si>
  <si>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</si>
  <si>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</si>
  <si>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</si>
  <si>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</si>
  <si>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</si>
  <si>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</si>
  <si>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</si>
  <si>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</si>
  <si>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</si>
  <si>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</si>
  <si>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</si>
  <si>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</si>
  <si>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</si>
  <si>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</si>
  <si>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</si>
  <si>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</si>
  <si>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</si>
  <si>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</si>
  <si>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</si>
  <si>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</si>
  <si>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</si>
  <si>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</si>
  <si>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</si>
  <si>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</si>
  <si>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</si>
  <si>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</si>
  <si>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</si>
  <si>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</si>
  <si>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</si>
  <si>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</si>
  <si>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</si>
  <si>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</si>
  <si>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</si>
  <si>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</si>
  <si>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</si>
  <si>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</si>
  <si>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</si>
  <si>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</si>
  <si>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</si>
  <si>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</si>
  <si>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</si>
  <si>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</si>
  <si>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</si>
  <si>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</si>
  <si>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</si>
  <si>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</si>
  <si>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</si>
  <si>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</si>
  <si>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</si>
  <si>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</si>
  <si>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</si>
  <si>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</si>
  <si>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</si>
  <si>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</si>
  <si>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</si>
  <si>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</si>
  <si>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</si>
  <si>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</si>
  <si>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</si>
  <si>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</si>
  <si>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</si>
  <si>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</si>
  <si>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</si>
  <si>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</si>
  <si>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</si>
  <si>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</si>
  <si>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</si>
  <si>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</si>
  <si>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</si>
  <si>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</si>
  <si>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</si>
  <si>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</si>
  <si>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</si>
  <si>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</si>
  <si>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</si>
  <si>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</si>
  <si>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</si>
  <si>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</si>
  <si>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</si>
  <si>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</si>
  <si>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</si>
  <si>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</si>
  <si>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</si>
  <si>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</si>
  <si>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</si>
  <si>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</si>
  <si>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</si>
  <si>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</si>
  <si>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</si>
  <si>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</si>
  <si>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</si>
  <si>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</si>
  <si>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</si>
  <si>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</si>
  <si>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</si>
  <si>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</si>
  <si>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</si>
  <si>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</si>
  <si>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</si>
  <si>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</si>
  <si>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</si>
  <si>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</si>
  <si>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</si>
  <si>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</si>
  <si>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</si>
  <si>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</si>
  <si>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</si>
  <si>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</si>
  <si>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</si>
  <si>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</si>
  <si>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</si>
  <si>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</si>
  <si>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</si>
  <si>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</si>
  <si>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</si>
  <si>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</si>
  <si>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</si>
  <si>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</si>
  <si>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</si>
  <si>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</si>
  <si>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</si>
  <si>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</si>
  <si>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</si>
  <si>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</si>
  <si>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</si>
  <si>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</si>
  <si>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</si>
  <si>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</si>
  <si>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</si>
  <si>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</si>
  <si>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</si>
  <si>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</si>
  <si>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</si>
  <si>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</si>
  <si>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</si>
  <si>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</si>
  <si>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</si>
  <si>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</si>
  <si>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</si>
  <si>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</si>
  <si>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</si>
  <si>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</si>
  <si>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</si>
  <si>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</si>
  <si>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</si>
  <si>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</si>
  <si>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</si>
  <si>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</si>
  <si>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</si>
  <si>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</si>
  <si>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</si>
  <si>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</si>
  <si>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</si>
  <si>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</si>
  <si>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</si>
  <si>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</si>
  <si>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</si>
  <si>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</si>
  <si>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</si>
  <si>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</si>
  <si>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</si>
  <si>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</si>
  <si>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</si>
  <si>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</si>
  <si>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</si>
  <si>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</si>
  <si>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</si>
  <si>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</si>
  <si>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</si>
  <si>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</si>
  <si>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</si>
  <si>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</si>
  <si>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</si>
  <si>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</si>
  <si>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</si>
  <si>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</si>
  <si>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</si>
  <si>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</si>
  <si>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</si>
  <si>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</si>
  <si>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</si>
  <si>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</si>
  <si>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</si>
  <si>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</si>
  <si>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</si>
  <si>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</si>
  <si>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</si>
  <si>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</si>
  <si>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</si>
  <si>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</si>
  <si>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</si>
  <si>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</si>
  <si>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</si>
  <si>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</si>
  <si>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</si>
  <si>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</si>
  <si>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</si>
  <si>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</si>
  <si>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</si>
  <si>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</si>
  <si>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</si>
  <si>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</si>
  <si>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</si>
  <si>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</si>
  <si>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</si>
  <si>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</si>
  <si>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</si>
  <si>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</si>
  <si>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</si>
  <si>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</si>
  <si>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</si>
  <si>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</si>
  <si>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</si>
  <si>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</si>
  <si>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</si>
  <si>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</si>
  <si>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</si>
  <si>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</si>
  <si>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</si>
  <si>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</si>
  <si>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</si>
  <si>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</si>
  <si>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</si>
  <si>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</si>
  <si>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</si>
  <si>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</si>
  <si>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</si>
  <si>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</si>
  <si>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</si>
  <si>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</si>
  <si>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</si>
  <si>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</si>
  <si>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</si>
  <si>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</si>
  <si>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</si>
  <si>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</si>
  <si>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</si>
  <si>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</si>
  <si>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</si>
  <si>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</si>
  <si>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</si>
  <si>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</si>
  <si>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</si>
  <si>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</si>
  <si>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</si>
  <si>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</si>
  <si>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</si>
  <si>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</si>
  <si>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</si>
  <si>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</si>
  <si>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</si>
  <si>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</si>
  <si>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</si>
  <si>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</si>
  <si>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</si>
  <si>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</si>
  <si>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</si>
  <si>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</si>
  <si>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</si>
  <si>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</si>
  <si>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</si>
  <si>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</si>
  <si>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</si>
  <si>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</si>
  <si>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</si>
  <si>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</si>
  <si>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</si>
  <si>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</si>
  <si>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</si>
  <si>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</si>
  <si>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</si>
  <si>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</si>
  <si>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</si>
  <si>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</si>
  <si>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</si>
  <si>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</si>
  <si>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</si>
  <si>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</si>
  <si>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</si>
  <si>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</si>
  <si>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</si>
  <si>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</si>
  <si>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</si>
  <si>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</si>
  <si>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</si>
  <si>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</si>
  <si>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</si>
  <si>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</si>
  <si>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</si>
  <si>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</si>
  <si>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</si>
  <si>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</si>
  <si>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</si>
  <si>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</si>
  <si>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</si>
  <si>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</si>
  <si>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</si>
  <si>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</si>
  <si>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</si>
  <si>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</si>
  <si>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</si>
  <si>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</si>
  <si>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</si>
  <si>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</si>
  <si>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</si>
  <si>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</si>
  <si>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</si>
  <si>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</si>
  <si>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</si>
  <si>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</si>
  <si>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</si>
  <si>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</si>
  <si>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</si>
  <si>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</si>
  <si>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</si>
  <si>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</si>
  <si>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</si>
  <si>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</si>
  <si>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</si>
  <si>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</si>
  <si>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</si>
  <si>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</si>
  <si>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</si>
  <si>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</si>
  <si>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</si>
  <si>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</si>
  <si>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</si>
  <si>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</si>
  <si>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</si>
  <si>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</si>
  <si>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</si>
  <si>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</si>
  <si>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</si>
  <si>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</si>
  <si>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</si>
  <si>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</si>
  <si>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</si>
  <si>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</si>
  <si>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</si>
  <si>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</si>
  <si>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</si>
  <si>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</si>
  <si>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</si>
  <si>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</si>
  <si>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</si>
  <si>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</si>
  <si>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</si>
  <si>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</si>
  <si>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</si>
  <si>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</si>
  <si>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</si>
  <si>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</si>
  <si>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</si>
  <si>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</si>
  <si>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</si>
  <si>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</si>
  <si>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</si>
  <si>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</si>
  <si>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</si>
  <si>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</si>
  <si>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</si>
  <si>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</si>
  <si>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</si>
  <si>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</si>
  <si>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</si>
  <si>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</si>
  <si>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</si>
  <si>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</si>
  <si>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</si>
  <si>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</si>
  <si>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</si>
  <si>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</si>
  <si>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</si>
  <si>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</si>
  <si>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</si>
  <si>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</si>
  <si>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</si>
  <si>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</si>
  <si>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</si>
  <si>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</si>
  <si>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</si>
  <si>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</si>
  <si>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</si>
  <si>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</si>
  <si>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</si>
  <si>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</si>
  <si>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</si>
  <si>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</si>
  <si>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</si>
  <si>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</si>
  <si>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</si>
  <si>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</si>
  <si>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</si>
  <si>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</si>
  <si>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</si>
  <si>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</si>
  <si>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</si>
  <si>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</si>
  <si>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</si>
  <si>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</si>
  <si>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</si>
  <si>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</si>
  <si>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</si>
  <si>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</si>
  <si>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</si>
  <si>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</si>
  <si>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</si>
  <si>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</si>
  <si>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</si>
  <si>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</si>
  <si>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</si>
  <si>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</si>
  <si>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</si>
  <si>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</si>
  <si>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</si>
  <si>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</si>
  <si>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</si>
  <si>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</si>
  <si>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</si>
  <si>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</si>
  <si>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</si>
  <si>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</si>
  <si>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</si>
  <si>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</si>
  <si>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</si>
  <si>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</si>
  <si>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</si>
  <si>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</si>
  <si>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</si>
  <si>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</si>
  <si>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</si>
  <si>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</si>
  <si>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</si>
  <si>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</si>
  <si>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</si>
  <si>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</si>
  <si>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</si>
  <si>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</si>
  <si>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</si>
  <si>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</si>
  <si>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</si>
  <si>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</si>
  <si>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</si>
  <si>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</si>
  <si>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</si>
  <si>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</si>
  <si>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</si>
  <si>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</si>
  <si>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</si>
  <si>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</si>
  <si>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</si>
  <si>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</si>
  <si>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</si>
  <si>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</si>
  <si>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</si>
  <si>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</si>
  <si>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</si>
  <si>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</si>
  <si>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</si>
  <si>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</si>
  <si>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</si>
  <si>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</si>
  <si>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</si>
  <si>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</si>
  <si>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</si>
  <si>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</si>
  <si>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</si>
  <si>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</si>
  <si>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</si>
  <si>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</si>
  <si>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</si>
  <si>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</si>
  <si>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</si>
  <si>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</si>
  <si>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</si>
  <si>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</si>
  <si>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</si>
  <si>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</si>
  <si>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</si>
  <si>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</si>
  <si>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</si>
  <si>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</si>
  <si>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</si>
  <si>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</si>
  <si>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</si>
  <si>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</si>
  <si>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</si>
  <si>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</si>
  <si>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</si>
  <si>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</si>
  <si>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</si>
  <si>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</si>
  <si>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</si>
  <si>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</si>
  <si>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</si>
  <si>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</si>
  <si>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</si>
  <si>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</si>
  <si>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</si>
  <si>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</si>
  <si>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</si>
  <si>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</si>
  <si>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</si>
  <si>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</si>
  <si>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</si>
  <si>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</si>
  <si>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</si>
  <si>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</si>
  <si>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</si>
  <si>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</si>
  <si>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</si>
  <si>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</si>
  <si>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</si>
  <si>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</si>
  <si>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</si>
  <si>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</si>
  <si>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</si>
  <si>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</si>
  <si>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</si>
  <si>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</si>
  <si>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</si>
  <si>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</si>
  <si>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</si>
  <si>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</si>
  <si>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</si>
  <si>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</si>
  <si>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</si>
  <si>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</si>
  <si>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</si>
  <si>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</si>
  <si>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</si>
  <si>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</si>
  <si>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</si>
  <si>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</si>
  <si>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</si>
  <si>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</si>
  <si>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</si>
  <si>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</si>
  <si>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</si>
  <si>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</si>
  <si>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</si>
  <si>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</si>
  <si>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</si>
  <si>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</si>
  <si>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</si>
  <si>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</si>
  <si>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</si>
  <si>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</si>
  <si>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</si>
  <si>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</si>
  <si>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</si>
  <si>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</si>
  <si>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</si>
  <si>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</si>
  <si>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</si>
  <si>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</si>
  <si>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</si>
  <si>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</si>
  <si>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</si>
  <si>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</si>
  <si>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</si>
  <si>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</si>
  <si>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</si>
  <si>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</si>
  <si>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</si>
  <si>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</si>
  <si>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</si>
  <si>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</si>
  <si>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</si>
  <si>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</si>
  <si>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</si>
  <si>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</si>
  <si>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</si>
  <si>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</si>
  <si>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</si>
  <si>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</si>
  <si>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</si>
  <si>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</si>
  <si>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</si>
  <si>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</si>
  <si>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</si>
  <si>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</si>
  <si>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</si>
  <si>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</si>
  <si>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</si>
  <si>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</si>
  <si>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</si>
  <si>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</si>
  <si>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</si>
  <si>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</si>
  <si>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</si>
  <si>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</si>
  <si>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</si>
  <si>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</si>
  <si>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</si>
  <si>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</si>
  <si>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</si>
  <si>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</si>
  <si>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</si>
  <si>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</si>
  <si>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</si>
  <si>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</si>
  <si>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</si>
  <si>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</si>
  <si>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</si>
  <si>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</si>
  <si>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</si>
  <si>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</si>
  <si>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</si>
  <si>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</si>
  <si>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</si>
  <si>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</si>
  <si>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</si>
  <si>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</si>
  <si>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</si>
  <si>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</si>
  <si>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</si>
  <si>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</si>
  <si>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</si>
  <si>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</si>
  <si>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</si>
  <si>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</si>
  <si>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</si>
  <si>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</si>
  <si>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</si>
  <si>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</si>
  <si>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</si>
  <si>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</si>
  <si>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</si>
  <si>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</si>
  <si>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</si>
  <si>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</si>
  <si>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</si>
  <si>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</si>
  <si>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</si>
  <si>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</si>
  <si>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</si>
  <si>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</si>
  <si>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</si>
  <si>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</si>
  <si>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</si>
  <si>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</si>
  <si>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</si>
  <si>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</si>
  <si>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</si>
  <si>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</si>
  <si>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</si>
  <si>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</si>
  <si>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</si>
  <si>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</si>
  <si>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</si>
  <si>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</si>
  <si>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</si>
  <si>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</si>
  <si>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</si>
  <si>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</si>
  <si>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</si>
  <si>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</si>
  <si>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</si>
  <si>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</si>
  <si>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</si>
  <si>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</si>
  <si>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</si>
  <si>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</si>
  <si>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</si>
  <si>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</si>
  <si>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</si>
  <si>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</si>
  <si>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</si>
  <si>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</si>
  <si>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</si>
  <si>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</si>
  <si>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</si>
  <si>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</si>
  <si>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</si>
  <si>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</si>
  <si>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</si>
  <si>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</si>
  <si>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</si>
  <si>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</si>
  <si>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</si>
  <si>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</si>
  <si>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</si>
  <si>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</si>
  <si>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</si>
  <si>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</si>
  <si>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</si>
  <si>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</si>
  <si>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</si>
  <si>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</si>
  <si>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</si>
  <si>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</si>
  <si>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</si>
  <si>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</si>
  <si>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</si>
  <si>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</si>
  <si>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</si>
  <si>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</si>
  <si>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</si>
  <si>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</si>
  <si>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</si>
  <si>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</si>
  <si>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</si>
  <si>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</si>
  <si>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</si>
  <si>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</si>
  <si>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</si>
  <si>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</si>
  <si>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</si>
  <si>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</si>
  <si>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</si>
  <si>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</si>
  <si>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</si>
  <si>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</si>
  <si>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</si>
  <si>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</si>
  <si>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</si>
  <si>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</si>
  <si>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</si>
  <si>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</si>
  <si>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</si>
  <si>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</si>
  <si>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</si>
  <si>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</si>
  <si>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</si>
  <si>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</si>
  <si>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</si>
  <si>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</si>
  <si>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</si>
  <si>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</si>
  <si>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</si>
  <si>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</si>
  <si>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</si>
  <si>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</si>
  <si>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</si>
  <si>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</si>
  <si>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</si>
  <si>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</si>
  <si>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</si>
  <si>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</si>
  <si>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</si>
  <si>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</si>
  <si>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</si>
  <si>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</si>
  <si>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</si>
  <si>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</si>
  <si>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</si>
  <si>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</si>
  <si>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</si>
  <si>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</si>
  <si>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</si>
  <si>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</si>
  <si>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</si>
  <si>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</si>
  <si>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</si>
  <si>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</si>
  <si>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</si>
  <si>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</si>
  <si>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</si>
  <si>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</si>
  <si>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</si>
  <si>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</si>
  <si>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</si>
  <si>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</si>
  <si>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</si>
  <si>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</si>
  <si>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</si>
  <si>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</si>
  <si>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</si>
  <si>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</si>
  <si>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</si>
  <si>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</si>
  <si>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</si>
  <si>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</si>
  <si>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</si>
  <si>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</si>
  <si>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</si>
  <si>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</si>
  <si>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</si>
  <si>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</si>
  <si>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</si>
  <si>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</si>
  <si>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</si>
  <si>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</si>
  <si>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</si>
  <si>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</si>
  <si>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</si>
  <si>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</si>
  <si>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</si>
  <si>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</si>
  <si>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</si>
  <si>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</si>
  <si>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</si>
  <si>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</si>
  <si>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</si>
  <si>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</si>
  <si>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</si>
  <si>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</si>
  <si>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</si>
  <si>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</si>
  <si>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</si>
  <si>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</si>
  <si>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</si>
  <si>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</si>
  <si>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</si>
  <si>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</si>
  <si>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</si>
  <si>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</si>
  <si>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</si>
  <si>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</si>
  <si>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</si>
  <si>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</si>
  <si>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</si>
  <si>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</si>
  <si>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</si>
  <si>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</si>
  <si>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</si>
  <si>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</si>
  <si>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</si>
  <si>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</si>
  <si>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</si>
  <si>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</si>
  <si>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</si>
  <si>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</si>
  <si>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</si>
  <si>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</si>
  <si>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</si>
  <si>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</si>
  <si>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</si>
  <si>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</si>
  <si>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</si>
  <si>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</si>
  <si>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</si>
  <si>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</si>
  <si>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</si>
  <si>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</si>
  <si>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</si>
  <si>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</si>
  <si>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</si>
  <si>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</si>
  <si>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</si>
  <si>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</si>
  <si>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</si>
  <si>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</si>
  <si>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</si>
  <si>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</si>
  <si>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</si>
  <si>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</si>
  <si>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</si>
  <si>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</si>
  <si>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</si>
  <si>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</si>
  <si>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</si>
  <si>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</si>
  <si>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</si>
  <si>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</si>
  <si>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</si>
  <si>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</si>
  <si>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</si>
  <si>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</si>
  <si>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</si>
  <si>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</si>
  <si>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</si>
  <si>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</si>
  <si>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</si>
  <si>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</si>
  <si>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</si>
  <si>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</si>
  <si>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</si>
  <si>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</si>
  <si>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</si>
  <si>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</si>
  <si>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</si>
  <si>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</si>
  <si>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</si>
  <si>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</si>
  <si>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</si>
  <si>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</si>
  <si>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</si>
  <si>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</si>
  <si>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</si>
  <si>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</si>
  <si>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</si>
  <si>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</si>
  <si>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</si>
  <si>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</si>
  <si>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</si>
  <si>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</si>
  <si>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</si>
  <si>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</si>
  <si>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</si>
  <si>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</si>
  <si>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</si>
  <si>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</si>
  <si>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</si>
  <si>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</si>
  <si>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</si>
  <si>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</si>
  <si>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</si>
  <si>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</si>
  <si>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</si>
  <si>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</si>
  <si>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</si>
  <si>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</si>
  <si>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</si>
  <si>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</si>
  <si>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</si>
  <si>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</si>
  <si>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</si>
  <si>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</si>
  <si>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</si>
  <si>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</si>
  <si>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</si>
  <si>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</si>
  <si>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</si>
  <si>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</si>
  <si>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</si>
  <si>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</si>
  <si>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</si>
  <si>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</si>
  <si>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</si>
  <si>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</si>
  <si>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</si>
  <si>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</si>
  <si>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</si>
  <si>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</si>
  <si>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</si>
  <si>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</si>
  <si>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</si>
  <si>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</si>
  <si>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</si>
  <si>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</si>
  <si>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</si>
  <si>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</si>
  <si>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</si>
  <si>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</si>
  <si>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</si>
  <si>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</si>
  <si>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</si>
  <si>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</si>
  <si>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</si>
  <si>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</si>
  <si>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</si>
  <si>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</si>
  <si>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</si>
  <si>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</si>
  <si>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</si>
  <si>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</si>
  <si>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</si>
  <si>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</si>
  <si>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</si>
  <si>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</si>
  <si>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</si>
  <si>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</si>
  <si>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</si>
  <si>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</si>
  <si>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</si>
  <si>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</si>
  <si>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</si>
  <si>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</si>
  <si>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</si>
  <si>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</si>
  <si>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</si>
  <si>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</si>
  <si>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</si>
  <si>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</si>
  <si>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</si>
  <si>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</si>
  <si>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</si>
  <si>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</si>
  <si>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</si>
  <si>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</si>
  <si>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</si>
  <si>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</si>
  <si>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</si>
  <si>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</si>
  <si>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</si>
  <si>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</si>
  <si>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</si>
  <si>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</si>
  <si>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</si>
  <si>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</si>
  <si>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</si>
  <si>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</si>
  <si>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</si>
  <si>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</si>
  <si>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</si>
  <si>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</si>
  <si>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</si>
  <si>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</si>
  <si>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</si>
  <si>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</si>
  <si>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</si>
  <si>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</si>
  <si>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</si>
  <si>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</si>
  <si>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</si>
  <si>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</si>
  <si>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</si>
  <si>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</si>
  <si>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</si>
  <si>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</si>
  <si>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</si>
  <si>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</si>
  <si>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</si>
  <si>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</si>
  <si>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</si>
  <si>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</si>
  <si>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</si>
  <si>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</si>
  <si>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</si>
  <si>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</si>
  <si>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</si>
  <si>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</si>
  <si>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</si>
  <si>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</si>
  <si>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</si>
  <si>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</si>
  <si>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</si>
  <si>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</si>
  <si>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</si>
  <si>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</si>
  <si>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</si>
  <si>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</si>
  <si>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</si>
  <si>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</si>
  <si>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</si>
  <si>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</si>
  <si>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</si>
  <si>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</si>
  <si>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</si>
  <si>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</si>
  <si>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</si>
  <si>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</si>
  <si>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</si>
  <si>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</si>
  <si>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</si>
  <si>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</si>
  <si>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</si>
  <si>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</si>
  <si>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</si>
  <si>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</si>
  <si>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</si>
  <si>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</si>
  <si>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</si>
  <si>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</si>
  <si>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</si>
  <si>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</si>
  <si>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</si>
  <si>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</si>
  <si>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</si>
  <si>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</si>
  <si>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</si>
  <si>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</si>
  <si>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</si>
  <si>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</si>
  <si>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</si>
  <si>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</si>
  <si>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</si>
  <si>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</si>
  <si>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</si>
  <si>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</si>
  <si>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</si>
  <si>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</si>
  <si>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</si>
  <si>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</si>
  <si>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</si>
  <si>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</si>
  <si>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</si>
  <si>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</si>
  <si>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</si>
  <si>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</si>
  <si>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</si>
  <si>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</si>
  <si>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</si>
  <si>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</si>
  <si>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</si>
  <si>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</si>
  <si>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</si>
  <si>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</si>
  <si>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</si>
  <si>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</si>
  <si>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</si>
  <si>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</si>
  <si>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</si>
  <si>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</si>
  <si>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</si>
  <si>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</si>
  <si>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</si>
  <si>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</si>
  <si>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</si>
  <si>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</si>
  <si>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</si>
  <si>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</si>
  <si>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</si>
  <si>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</si>
  <si>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</si>
  <si>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</si>
  <si>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</si>
  <si>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</si>
  <si>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</si>
  <si>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</si>
  <si>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</si>
  <si>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</si>
  <si>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</si>
  <si>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</si>
  <si>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</si>
  <si>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</si>
  <si>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</si>
  <si>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</si>
  <si>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</si>
  <si>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</si>
  <si>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</si>
  <si>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</si>
  <si>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</si>
  <si>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</si>
  <si>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</si>
  <si>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</si>
  <si>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</si>
  <si>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</si>
  <si>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</si>
  <si>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</si>
  <si>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</si>
  <si>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</si>
  <si>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</si>
  <si>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</si>
  <si>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</si>
  <si>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</si>
  <si>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</si>
  <si>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</si>
  <si>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</si>
  <si>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</si>
  <si>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</si>
  <si>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</si>
  <si>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</si>
  <si>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</si>
  <si>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</si>
  <si>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</si>
  <si>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</si>
  <si>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</si>
  <si>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</si>
  <si>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</si>
  <si>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</si>
  <si>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</si>
  <si>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</si>
  <si>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</si>
  <si>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</si>
  <si>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</si>
  <si>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</si>
  <si>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</si>
  <si>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</si>
  <si>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</si>
  <si>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</si>
  <si>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</si>
  <si>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</si>
  <si>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</si>
  <si>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</si>
  <si>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</si>
  <si>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</si>
  <si>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</si>
  <si>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</si>
  <si>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</si>
  <si>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</si>
  <si>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</si>
  <si>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</si>
  <si>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</si>
  <si>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</si>
  <si>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</si>
  <si>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</si>
  <si>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</si>
  <si>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</si>
  <si>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</si>
  <si>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</si>
  <si>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</si>
  <si>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</si>
  <si>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</si>
  <si>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</si>
  <si>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</si>
  <si>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</si>
  <si>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</si>
  <si>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</si>
  <si>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</si>
  <si>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</si>
  <si>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</si>
  <si>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</si>
  <si>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</si>
  <si>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</si>
  <si>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</si>
  <si>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</si>
  <si>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</si>
  <si>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</si>
  <si>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</si>
  <si>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</si>
  <si>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</si>
  <si>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</si>
  <si>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</si>
  <si>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</si>
  <si>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</si>
  <si>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</si>
  <si>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</si>
  <si>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</si>
  <si>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</si>
  <si>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</si>
  <si>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</si>
  <si>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</si>
  <si>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</si>
  <si>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</si>
  <si>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</si>
  <si>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</si>
  <si>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</si>
  <si>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</si>
  <si>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</si>
  <si>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</si>
  <si>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</si>
  <si>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</si>
  <si>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</si>
  <si>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</si>
  <si>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</si>
  <si>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</si>
  <si>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</si>
  <si>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</si>
  <si>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</si>
  <si>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</si>
  <si>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</si>
  <si>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</si>
  <si>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</si>
  <si>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</si>
  <si>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</si>
  <si>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</si>
  <si>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</si>
  <si>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</si>
  <si>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</si>
  <si>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</si>
  <si>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</si>
  <si>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</si>
  <si>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</si>
  <si>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</si>
  <si>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</si>
  <si>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</si>
  <si>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</si>
  <si>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</si>
  <si>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</si>
  <si>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</si>
  <si>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</si>
  <si>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</si>
  <si>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</si>
  <si>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</si>
  <si>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</si>
  <si>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</si>
  <si>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</si>
  <si>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</si>
  <si>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</si>
  <si>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</si>
  <si>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</si>
  <si>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</si>
  <si>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</si>
  <si>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</si>
  <si>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</si>
  <si>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</si>
  <si>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</si>
  <si>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</si>
  <si>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</si>
  <si>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</si>
  <si>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</si>
  <si>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</si>
  <si>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</si>
  <si>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</si>
  <si>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</si>
  <si>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</si>
  <si>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</si>
  <si>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</si>
  <si>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</si>
  <si>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</si>
  <si>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</si>
  <si>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</si>
  <si>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</si>
  <si>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</si>
  <si>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</si>
  <si>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</si>
  <si>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</si>
  <si>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</si>
  <si>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</si>
  <si>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</si>
  <si>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</si>
  <si>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</si>
  <si>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</si>
  <si>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</si>
  <si>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</si>
  <si>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</si>
  <si>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</si>
  <si>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</si>
  <si>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</si>
  <si>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</si>
  <si>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</si>
  <si>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</si>
  <si>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</si>
  <si>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</si>
  <si>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</si>
  <si>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</si>
  <si>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</si>
  <si>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</si>
  <si>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</si>
  <si>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</si>
  <si>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</si>
  <si>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</si>
  <si>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</si>
  <si>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</si>
  <si>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</si>
  <si>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</si>
  <si>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</si>
  <si>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</si>
  <si>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</si>
  <si>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</si>
  <si>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</si>
  <si>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</si>
  <si>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</si>
  <si>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</si>
  <si>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</si>
  <si>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</si>
  <si>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</si>
  <si>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</si>
  <si>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</si>
  <si>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</si>
  <si>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</si>
  <si>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</si>
  <si>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</si>
  <si>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</si>
  <si>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</si>
  <si>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</si>
  <si>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</si>
  <si>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</si>
  <si>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</si>
  <si>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</si>
  <si>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</si>
  <si>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</si>
  <si>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</si>
  <si>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</si>
  <si>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</si>
  <si>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</si>
  <si>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</si>
  <si>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</si>
  <si>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</si>
  <si>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</si>
  <si>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</si>
  <si>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</si>
  <si>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</si>
  <si>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</si>
  <si>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</si>
  <si>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</si>
  <si>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</si>
  <si>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</si>
  <si>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</si>
  <si>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</si>
  <si>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</si>
  <si>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</si>
  <si>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</si>
  <si>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</si>
  <si>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</si>
  <si>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</si>
  <si>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</si>
  <si>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</si>
  <si>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</si>
  <si>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</si>
  <si>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</si>
  <si>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</si>
  <si>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</si>
  <si>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</si>
  <si>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</si>
  <si>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</si>
  <si>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</si>
  <si>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</si>
  <si>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</si>
  <si>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</si>
  <si>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</si>
  <si>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</si>
  <si>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</si>
  <si>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</si>
  <si>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</si>
  <si>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</si>
  <si>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</si>
  <si>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</si>
  <si>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</si>
  <si>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</si>
  <si>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</si>
  <si>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</si>
  <si>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</si>
  <si>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</si>
  <si>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</si>
  <si>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</si>
  <si>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</si>
  <si>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</si>
  <si>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</si>
  <si>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</si>
  <si>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</si>
  <si>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</si>
  <si>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</si>
  <si>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</si>
  <si>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</si>
  <si>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</si>
  <si>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</si>
  <si>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</si>
  <si>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</si>
  <si>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</si>
  <si>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</si>
  <si>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</si>
  <si>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</si>
  <si>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</si>
  <si>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</si>
  <si>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</si>
  <si>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</si>
  <si>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</si>
  <si>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</si>
  <si>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</si>
  <si>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</si>
  <si>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</si>
  <si>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</si>
  <si>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</si>
  <si>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</si>
  <si>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</si>
  <si>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</si>
  <si>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</si>
  <si>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</si>
  <si>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</si>
  <si>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</si>
  <si>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</si>
  <si>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</si>
  <si>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</si>
  <si>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</si>
  <si>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</si>
  <si>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</si>
  <si>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</si>
  <si>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</si>
  <si>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</si>
  <si>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</si>
  <si>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</si>
  <si>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</si>
  <si>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</si>
  <si>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</si>
  <si>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</si>
  <si>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</si>
  <si>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</si>
  <si>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</si>
  <si>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</si>
  <si>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</si>
  <si>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</si>
  <si>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</si>
  <si>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</si>
  <si>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</si>
  <si>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</si>
  <si>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</si>
  <si>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</si>
  <si>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</si>
  <si>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</si>
  <si>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</si>
  <si>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</si>
  <si>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</si>
  <si>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</si>
  <si>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</si>
  <si>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</si>
  <si>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</si>
  <si>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</si>
  <si>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</si>
  <si>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</si>
  <si>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</si>
  <si>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</si>
  <si>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</si>
  <si>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</si>
  <si>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</si>
  <si>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</si>
  <si>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</si>
  <si>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</si>
  <si>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</si>
  <si>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</si>
  <si>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</si>
  <si>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</si>
  <si>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</si>
  <si>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</si>
  <si>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</si>
  <si>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</si>
  <si>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</si>
  <si>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</si>
  <si>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</si>
  <si>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</si>
  <si>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</si>
  <si>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</si>
  <si>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</si>
  <si>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</si>
  <si>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</si>
  <si>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</si>
  <si>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</si>
  <si>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</si>
  <si>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</si>
  <si>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</si>
  <si>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</si>
  <si>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</si>
  <si>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</si>
  <si>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</si>
  <si>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</si>
  <si>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</si>
  <si>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</si>
  <si>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</si>
  <si>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</si>
  <si>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</si>
  <si>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</si>
  <si>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</si>
  <si>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</si>
  <si>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</si>
  <si>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</si>
  <si>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</si>
  <si>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</si>
  <si>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</si>
  <si>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</si>
  <si>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</si>
  <si>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</si>
  <si>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</si>
  <si>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</si>
  <si>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</si>
  <si>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</si>
  <si>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</si>
  <si>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</si>
  <si>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</si>
  <si>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</si>
  <si>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</si>
  <si>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</si>
  <si>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</si>
  <si>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</si>
  <si>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</si>
  <si>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</si>
  <si>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</si>
  <si>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</si>
  <si>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</si>
  <si>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</si>
  <si>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</si>
  <si>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</si>
  <si>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</si>
  <si>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</si>
  <si>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</si>
  <si>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</si>
  <si>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</si>
  <si>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</si>
  <si>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</si>
  <si>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</si>
  <si>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</si>
  <si>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</si>
  <si>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</si>
  <si>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</si>
  <si>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</si>
  <si>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</si>
  <si>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</si>
  <si>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</si>
  <si>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</si>
  <si>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</si>
  <si>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</si>
  <si>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</si>
  <si>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</si>
  <si>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</si>
  <si>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</si>
  <si>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</si>
  <si>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</si>
  <si>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</si>
  <si>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</si>
  <si>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</si>
  <si>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</si>
  <si>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</si>
  <si>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</si>
  <si>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</si>
  <si>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</si>
  <si>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</si>
  <si>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</si>
  <si>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</si>
  <si>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</si>
  <si>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</si>
  <si>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</si>
  <si>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</si>
  <si>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</si>
  <si>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</si>
  <si>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</si>
  <si>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</si>
  <si>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</si>
  <si>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</si>
  <si>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</si>
  <si>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</si>
  <si>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</si>
  <si>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</si>
  <si>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</si>
  <si>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</si>
  <si>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</si>
  <si>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</si>
  <si>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</si>
  <si>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</si>
  <si>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</si>
  <si>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</si>
  <si>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</si>
  <si>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</si>
  <si>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</si>
  <si>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</si>
  <si>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</si>
  <si>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</si>
  <si>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</si>
  <si>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</si>
  <si>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</si>
  <si>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</si>
  <si>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</si>
  <si>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</si>
  <si>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</si>
  <si>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</si>
  <si>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</si>
  <si>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</si>
  <si>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</si>
  <si>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</si>
  <si>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</si>
  <si>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</si>
  <si>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</si>
  <si>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</si>
  <si>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</si>
  <si>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</si>
  <si>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</si>
  <si>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</si>
  <si>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</si>
  <si>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</si>
  <si>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</si>
  <si>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</si>
  <si>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</si>
  <si>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</si>
  <si>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</si>
  <si>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</si>
  <si>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</si>
  <si>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</si>
  <si>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</si>
  <si>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</si>
  <si>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</si>
  <si>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</si>
  <si>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</si>
  <si>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</si>
  <si>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</si>
  <si>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</si>
  <si>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</si>
  <si>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</si>
  <si>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</si>
  <si>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</si>
  <si>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</si>
  <si>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</si>
  <si>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</si>
  <si>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</si>
  <si>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</si>
  <si>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</si>
  <si>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</si>
  <si>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</si>
  <si>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</si>
  <si>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</si>
  <si>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</si>
  <si>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</si>
  <si>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</si>
  <si>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</si>
  <si>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</si>
  <si>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</si>
  <si>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</si>
  <si>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</si>
  <si>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</si>
  <si>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</si>
  <si>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</si>
  <si>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</si>
  <si>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</si>
  <si>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</si>
  <si>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</si>
  <si>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</si>
  <si>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</si>
  <si>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</si>
  <si>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</si>
  <si>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</si>
  <si>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</si>
  <si>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</si>
  <si>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</si>
  <si>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</si>
  <si>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</si>
  <si>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</si>
  <si>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</si>
  <si>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</si>
  <si>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</si>
  <si>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</si>
  <si>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</si>
  <si>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</si>
  <si>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</si>
  <si>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</si>
  <si>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</si>
  <si>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</si>
  <si>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</si>
  <si>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</si>
  <si>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</si>
  <si>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</si>
  <si>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</si>
  <si>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</si>
  <si>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</si>
  <si>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</si>
  <si>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</si>
  <si>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</si>
  <si>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</si>
  <si>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</si>
  <si>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</si>
  <si>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</si>
  <si>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</si>
  <si>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</si>
  <si>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</si>
  <si>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</si>
  <si>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</si>
  <si>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</si>
  <si>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</si>
  <si>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</si>
  <si>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</si>
  <si>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</si>
  <si>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</si>
  <si>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</si>
  <si>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</si>
  <si>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</si>
  <si>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</si>
  <si>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</si>
  <si>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</si>
  <si>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</si>
  <si>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</si>
  <si>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</si>
  <si>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</si>
  <si>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</si>
  <si>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</si>
  <si>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</si>
  <si>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</si>
  <si>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</si>
  <si>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</si>
  <si>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</si>
  <si>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</si>
  <si>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</si>
  <si>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</si>
  <si>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</si>
  <si>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</si>
  <si>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</si>
  <si>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</si>
  <si>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</si>
  <si>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</si>
  <si>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</si>
  <si>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</si>
  <si>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</si>
  <si>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</si>
  <si>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</si>
  <si>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</si>
  <si>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</si>
  <si>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</si>
  <si>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</si>
  <si>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</si>
  <si>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</si>
  <si>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</si>
  <si>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</si>
  <si>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</si>
  <si>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</si>
  <si>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</si>
  <si>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</si>
  <si>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</si>
  <si>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</si>
  <si>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</si>
  <si>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</si>
  <si>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</si>
  <si>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</si>
  <si>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</si>
  <si>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</si>
  <si>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</si>
  <si>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</si>
  <si>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</si>
  <si>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</si>
  <si>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</si>
  <si>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</si>
  <si>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</si>
  <si>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</si>
  <si>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</si>
  <si>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</si>
  <si>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</si>
  <si>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</si>
  <si>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</si>
  <si>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</si>
  <si>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</si>
  <si>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</si>
  <si>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</si>
  <si>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</si>
  <si>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</si>
  <si>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</si>
  <si>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</si>
  <si>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</si>
  <si>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</si>
  <si>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</si>
  <si>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</si>
  <si>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</si>
  <si>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</si>
  <si>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</si>
  <si>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</si>
  <si>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</si>
  <si>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</si>
  <si>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</si>
  <si>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</si>
  <si>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</si>
  <si>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</si>
  <si>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</si>
  <si>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</si>
  <si>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</si>
  <si>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</si>
  <si>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</si>
  <si>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</si>
  <si>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</si>
  <si>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</si>
  <si>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</si>
  <si>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</si>
  <si>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</si>
  <si>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</si>
  <si>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</si>
  <si>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</si>
  <si>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</si>
  <si>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</si>
  <si>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</si>
  <si>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</si>
  <si>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</si>
  <si>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</si>
  <si>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</si>
  <si>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</si>
  <si>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</si>
  <si>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</si>
  <si>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</si>
  <si>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</si>
  <si>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</si>
  <si>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</si>
  <si>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</si>
  <si>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</si>
  <si>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</si>
  <si>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</si>
  <si>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</si>
  <si>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</si>
  <si>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</si>
  <si>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</si>
  <si>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</si>
  <si>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</si>
  <si>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</si>
  <si>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</si>
  <si>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</si>
  <si>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</si>
  <si>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</si>
  <si>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</si>
  <si>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</si>
  <si>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</si>
  <si>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</si>
  <si>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</si>
  <si>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</si>
  <si>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</si>
  <si>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</si>
  <si>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</si>
  <si>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</si>
  <si>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</si>
  <si>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</si>
  <si>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</si>
  <si>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</si>
  <si>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</si>
  <si>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</si>
  <si>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</si>
  <si>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</si>
  <si>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</si>
  <si>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</si>
  <si>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</si>
  <si>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</si>
  <si>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</si>
  <si>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</si>
  <si>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</si>
  <si>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</si>
  <si>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</si>
  <si>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</si>
  <si>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</si>
  <si>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</si>
  <si>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</si>
  <si>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</si>
  <si>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</si>
  <si>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</si>
  <si>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</si>
  <si>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</si>
  <si>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</si>
  <si>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</si>
  <si>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</si>
  <si>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</si>
  <si>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</si>
  <si>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</si>
  <si>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</si>
  <si>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</si>
  <si>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</si>
  <si>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</si>
  <si>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</si>
  <si>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</si>
  <si>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</si>
  <si>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</si>
  <si>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</si>
  <si>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</si>
  <si>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</si>
  <si>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</si>
  <si>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</si>
  <si>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</si>
  <si>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</si>
  <si>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</si>
  <si>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</si>
  <si>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</si>
  <si>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</si>
  <si>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</si>
  <si>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</si>
  <si>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</si>
  <si>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</si>
  <si>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</si>
  <si>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</si>
  <si>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</si>
  <si>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</si>
  <si>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</si>
  <si>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</si>
  <si>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</si>
  <si>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</si>
  <si>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</si>
  <si>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</si>
  <si>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</si>
  <si>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</si>
  <si>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</si>
  <si>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</si>
  <si>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</si>
  <si>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</si>
  <si>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</si>
  <si>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</si>
  <si>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</si>
  <si>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</si>
  <si>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</si>
  <si>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</si>
  <si>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</si>
  <si>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</si>
  <si>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</si>
  <si>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</si>
  <si>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</si>
  <si>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</si>
  <si>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</si>
  <si>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</si>
  <si>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</si>
  <si>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</si>
  <si>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</si>
  <si>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</si>
  <si>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</si>
  <si>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</si>
  <si>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</si>
  <si>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</si>
  <si>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</si>
  <si>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</si>
  <si>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</si>
  <si>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</si>
  <si>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</si>
  <si>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</si>
  <si>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</si>
  <si>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</si>
  <si>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</si>
  <si>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</si>
  <si>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</si>
  <si>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</si>
  <si>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</si>
  <si>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</si>
  <si>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</si>
  <si>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</si>
  <si>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</si>
  <si>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</si>
  <si>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</si>
  <si>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</si>
  <si>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</si>
  <si>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</si>
  <si>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</si>
  <si>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</si>
  <si>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</si>
  <si>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</si>
  <si>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</si>
  <si>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</si>
  <si>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</si>
  <si>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</si>
  <si>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</si>
  <si>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</si>
  <si>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</si>
  <si>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</si>
  <si>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</si>
  <si>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</si>
  <si>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</si>
  <si>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</si>
  <si>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</si>
  <si>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</si>
  <si>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</si>
  <si>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</si>
  <si>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</si>
  <si>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</si>
  <si>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</si>
  <si>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</si>
  <si>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</si>
  <si>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</si>
  <si>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</si>
  <si>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</si>
  <si>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</si>
  <si>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</si>
  <si>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</si>
  <si>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</si>
  <si>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</si>
  <si>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</si>
  <si>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</si>
  <si>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</si>
  <si>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</si>
  <si>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</si>
  <si>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</si>
  <si>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</si>
  <si>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</si>
  <si>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</si>
  <si>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</si>
  <si>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</si>
  <si>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</si>
  <si>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</si>
  <si>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</si>
  <si>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</si>
  <si>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</si>
  <si>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</si>
  <si>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</si>
  <si>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</si>
  <si>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</si>
  <si>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</si>
  <si>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</si>
  <si>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</si>
  <si>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</si>
  <si>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</si>
  <si>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</si>
  <si>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</si>
  <si>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</si>
  <si>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</si>
  <si>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</si>
  <si>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</si>
  <si>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</si>
  <si>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</si>
  <si>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</si>
  <si>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</si>
  <si>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</si>
  <si>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</si>
  <si>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</si>
  <si>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</si>
  <si>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</si>
  <si>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</si>
  <si>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</si>
  <si>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</si>
  <si>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</si>
  <si>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</si>
  <si>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</si>
  <si>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</si>
  <si>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</si>
  <si>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</si>
  <si>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</si>
  <si>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</si>
  <si>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</si>
  <si>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</si>
  <si>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</si>
  <si>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</si>
  <si>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</si>
  <si>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</si>
  <si>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</si>
  <si>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</si>
  <si>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</si>
  <si>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</si>
  <si>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</si>
  <si>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</si>
  <si>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</si>
  <si>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</si>
  <si>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</si>
  <si>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</si>
  <si>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</si>
  <si>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</si>
  <si>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</si>
  <si>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</si>
  <si>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</si>
  <si>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</si>
  <si>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</si>
  <si>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</si>
  <si>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</si>
  <si>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</si>
  <si>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</si>
  <si>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</si>
  <si>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</si>
  <si>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</si>
  <si>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</si>
  <si>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</si>
  <si>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</si>
  <si>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</si>
  <si>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</si>
  <si>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</si>
  <si>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</si>
  <si>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</si>
  <si>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</si>
  <si>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</si>
  <si>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</si>
  <si>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</si>
  <si>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</si>
  <si>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</si>
  <si>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</si>
  <si>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</si>
  <si>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</si>
  <si>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</si>
  <si>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</si>
  <si>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</si>
  <si>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</si>
  <si>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</si>
  <si>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</si>
  <si>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</si>
  <si>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</si>
  <si>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</si>
  <si>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</si>
  <si>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</si>
  <si>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</si>
  <si>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</si>
  <si>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</si>
  <si>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</si>
  <si>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</si>
  <si>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</si>
  <si>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</si>
  <si>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</si>
  <si>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</si>
  <si>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</si>
  <si>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</si>
  <si>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</si>
  <si>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</si>
  <si>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</si>
  <si>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</si>
  <si>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</si>
  <si>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</si>
  <si>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</si>
  <si>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</si>
  <si>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</si>
  <si>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</si>
  <si>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</si>
  <si>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</si>
  <si>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</si>
  <si>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</si>
  <si>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</si>
  <si>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</si>
  <si>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</si>
  <si>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</si>
  <si>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</si>
  <si>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</si>
  <si>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</si>
  <si>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</si>
  <si>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</si>
  <si>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</si>
  <si>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</si>
  <si>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</si>
  <si>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</si>
  <si>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</si>
  <si>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</si>
  <si>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</si>
  <si>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</si>
  <si>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</si>
  <si>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</si>
  <si>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</si>
  <si>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</si>
  <si>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</si>
  <si>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</si>
  <si>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</si>
  <si>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</si>
  <si>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</si>
  <si>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</si>
  <si>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</si>
  <si>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</si>
  <si>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</si>
  <si>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</si>
  <si>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</si>
  <si>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</si>
  <si>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</si>
  <si>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</si>
  <si>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</si>
  <si>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</si>
  <si>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</si>
  <si>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</si>
  <si>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</si>
  <si>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</si>
  <si>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</si>
  <si>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</si>
  <si>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</si>
  <si>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</si>
  <si>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</si>
  <si>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</si>
  <si>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</si>
  <si>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</si>
  <si>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</si>
  <si>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</si>
  <si>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</si>
  <si>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</si>
  <si>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</si>
  <si>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</si>
  <si>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</si>
  <si>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</si>
  <si>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</si>
  <si>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</si>
  <si>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</si>
  <si>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</si>
  <si>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</si>
  <si>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</si>
  <si>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</si>
  <si>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</si>
  <si>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</si>
  <si>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</si>
  <si>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</si>
  <si>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</si>
  <si>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</si>
  <si>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</si>
  <si>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</si>
  <si>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</si>
  <si>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</si>
  <si>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</si>
  <si>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</si>
  <si>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</si>
  <si>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</si>
  <si>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</si>
  <si>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</si>
  <si>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</si>
  <si>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</si>
  <si>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</si>
  <si>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</si>
  <si>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</si>
  <si>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</si>
  <si>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</si>
  <si>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</si>
  <si>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</si>
  <si>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</si>
  <si>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</si>
  <si>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</si>
  <si>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</si>
  <si>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</si>
  <si>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</si>
  <si>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</si>
  <si>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</si>
  <si>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</si>
  <si>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</si>
  <si>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</si>
  <si>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</si>
  <si>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</si>
  <si>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</si>
  <si>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</si>
  <si>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</si>
  <si>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</si>
  <si>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</si>
  <si>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</si>
  <si>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</si>
  <si>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</si>
  <si>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</si>
  <si>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</si>
  <si>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</si>
  <si>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</si>
  <si>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</si>
  <si>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</si>
  <si>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</si>
  <si>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</si>
  <si>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</si>
  <si>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</si>
  <si>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</si>
  <si>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</si>
  <si>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</si>
  <si>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</si>
  <si>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</si>
  <si>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</si>
  <si>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</si>
  <si>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</si>
  <si>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</si>
  <si>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</si>
  <si>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</si>
  <si>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</si>
  <si>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</si>
  <si>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</si>
  <si>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</si>
  <si>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</si>
  <si>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</si>
  <si>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</si>
  <si>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</si>
  <si>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</si>
  <si>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</si>
  <si>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</si>
  <si>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</si>
  <si>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</si>
  <si>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</si>
  <si>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</si>
  <si>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</si>
  <si>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</si>
  <si>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</si>
  <si>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</si>
  <si>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</si>
  <si>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</si>
  <si>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</si>
  <si>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</si>
  <si>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</si>
  <si>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</si>
  <si>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</si>
  <si>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</si>
  <si>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</si>
  <si>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</si>
  <si>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</si>
  <si>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</si>
  <si>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</si>
  <si>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</si>
  <si>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</si>
  <si>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</si>
  <si>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</si>
  <si>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</si>
  <si>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</si>
  <si>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</si>
  <si>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</si>
  <si>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</si>
  <si>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</si>
  <si>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</si>
  <si>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</si>
  <si>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</si>
  <si>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</si>
  <si>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</si>
  <si>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</si>
  <si>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</si>
  <si>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</si>
  <si>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</si>
  <si>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</si>
  <si>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</si>
  <si>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</si>
  <si>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</si>
  <si>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</si>
  <si>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</si>
  <si>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</si>
  <si>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</si>
  <si>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</si>
  <si>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</si>
  <si>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</si>
  <si>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</si>
  <si>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</si>
  <si>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</si>
  <si>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</si>
  <si>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</si>
  <si>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</si>
  <si>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</si>
  <si>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</si>
  <si>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</si>
  <si>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</si>
  <si>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</si>
  <si>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</si>
  <si>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</si>
  <si>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</si>
  <si>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</si>
  <si>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</si>
  <si>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</si>
  <si>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</si>
  <si>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</si>
  <si>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</si>
  <si>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</si>
  <si>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</si>
  <si>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</si>
  <si>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</si>
  <si>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</si>
  <si>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</si>
  <si>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</si>
  <si>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</si>
  <si>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</si>
  <si>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</si>
  <si>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</si>
  <si>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</si>
  <si>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</si>
  <si>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</si>
  <si>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</si>
  <si>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</si>
  <si>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</si>
  <si>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</si>
  <si>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</si>
  <si>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</si>
  <si>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</si>
  <si>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</si>
  <si>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</si>
  <si>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</si>
  <si>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</si>
  <si>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</si>
  <si>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</si>
  <si>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</si>
  <si>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</si>
  <si>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</si>
  <si>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</si>
  <si>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</si>
  <si>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</si>
  <si>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</si>
  <si>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</si>
  <si>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</si>
  <si>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</si>
  <si>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</si>
  <si>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</si>
  <si>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</si>
  <si>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</si>
  <si>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</si>
  <si>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</si>
  <si>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</si>
  <si>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</si>
  <si>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</si>
  <si>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</si>
  <si>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</si>
  <si>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</si>
  <si>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</si>
  <si>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</si>
  <si>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</si>
  <si>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</si>
  <si>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</si>
  <si>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</si>
  <si>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</si>
  <si>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</si>
  <si>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</si>
  <si>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</si>
  <si>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</si>
  <si>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</si>
  <si>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</si>
  <si>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</si>
  <si>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</si>
  <si>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</si>
  <si>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</si>
  <si>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</si>
  <si>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</si>
  <si>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</si>
  <si>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</si>
  <si>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</si>
  <si>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</si>
  <si>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</si>
  <si>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</si>
  <si>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</si>
  <si>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</si>
  <si>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</si>
  <si>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</si>
  <si>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</si>
  <si>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</si>
  <si>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</si>
  <si>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</si>
  <si>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</si>
  <si>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</si>
  <si>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</si>
  <si>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</si>
  <si>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</si>
  <si>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</si>
  <si>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</si>
  <si>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</si>
  <si>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</si>
  <si>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</si>
  <si>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</si>
  <si>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</si>
  <si>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</si>
  <si>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</si>
  <si>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</si>
  <si>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</si>
  <si>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</si>
  <si>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</si>
  <si>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</si>
  <si>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</si>
  <si>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</si>
  <si>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</si>
  <si>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</si>
  <si>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</si>
  <si>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</si>
  <si>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</si>
  <si>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</si>
  <si>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</si>
  <si>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</si>
  <si>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</si>
  <si>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</si>
  <si>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</si>
  <si>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</si>
  <si>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</si>
  <si>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</si>
  <si>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</si>
  <si>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</si>
  <si>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</si>
  <si>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</si>
  <si>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</si>
  <si>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</si>
  <si>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</si>
  <si>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</si>
  <si>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</si>
  <si>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</si>
  <si>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</si>
  <si>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</si>
  <si>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</si>
  <si>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</si>
  <si>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</si>
  <si>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</si>
  <si>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</si>
  <si>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</si>
  <si>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</si>
  <si>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</si>
  <si>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</si>
  <si>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</si>
  <si>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</si>
  <si>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</si>
  <si>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</si>
  <si>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</si>
  <si>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</si>
  <si>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</si>
  <si>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</si>
  <si>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</si>
  <si>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</si>
  <si>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</si>
  <si>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</si>
  <si>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</si>
  <si>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</si>
  <si>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</si>
  <si>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</si>
  <si>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</si>
  <si>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</si>
  <si>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</si>
  <si>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</si>
  <si>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</si>
  <si>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</si>
  <si>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</si>
  <si>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</si>
  <si>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</si>
  <si>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</si>
  <si>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</si>
  <si>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</si>
  <si>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</si>
  <si>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</si>
  <si>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</si>
  <si>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</si>
  <si>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</si>
  <si>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</si>
  <si>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</si>
  <si>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</si>
  <si>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</si>
  <si>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</si>
  <si>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</si>
  <si>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</si>
  <si>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</si>
  <si>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</si>
  <si>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</si>
  <si>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</si>
  <si>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</si>
  <si>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</si>
  <si>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</si>
  <si>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</si>
  <si>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</si>
  <si>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</si>
  <si>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</si>
  <si>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</si>
  <si>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</si>
  <si>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</si>
  <si>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</si>
  <si>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</si>
  <si>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</si>
  <si>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</si>
  <si>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</si>
  <si>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</si>
  <si>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</si>
  <si>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</si>
  <si>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</si>
  <si>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</si>
  <si>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</si>
  <si>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</si>
  <si>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</si>
  <si>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</si>
  <si>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</si>
  <si>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</si>
  <si>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</si>
  <si>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</si>
  <si>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</si>
  <si>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</si>
  <si>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</si>
  <si>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</si>
  <si>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</si>
  <si>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</si>
  <si>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</si>
  <si>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</si>
  <si>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</si>
  <si>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</si>
  <si>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</si>
  <si>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</si>
  <si>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</si>
  <si>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</si>
  <si>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</si>
  <si>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</si>
  <si>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</si>
  <si>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</si>
  <si>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</si>
  <si>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</si>
  <si>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</si>
  <si>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</si>
  <si>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</si>
  <si>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</si>
  <si>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</si>
  <si>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</si>
  <si>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</si>
  <si>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</si>
  <si>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</si>
  <si>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</si>
  <si>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</si>
  <si>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</si>
  <si>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</si>
  <si>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</si>
  <si>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</si>
  <si>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</si>
  <si>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</si>
  <si>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</si>
  <si>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</si>
  <si>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</si>
  <si>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</si>
  <si>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</si>
  <si>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</si>
  <si>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</si>
  <si>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</si>
  <si>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</si>
  <si>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</si>
  <si>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</si>
  <si>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</si>
  <si>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</si>
  <si>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</si>
  <si>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</si>
  <si>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</si>
  <si>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</si>
  <si>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</si>
  <si>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</si>
  <si>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</si>
  <si>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</si>
  <si>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</si>
  <si>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</si>
  <si>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</si>
  <si>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</si>
  <si>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</si>
  <si>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</si>
  <si>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</si>
  <si>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</si>
  <si>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</si>
  <si>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</si>
  <si>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</si>
  <si>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</si>
  <si>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</si>
  <si>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</si>
  <si>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</si>
  <si>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</si>
  <si>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</si>
  <si>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</si>
  <si>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</si>
  <si>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</si>
  <si>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</si>
  <si>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</si>
  <si>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</si>
  <si>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</si>
  <si>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</si>
  <si>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</si>
  <si>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</si>
  <si>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</si>
  <si>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</si>
  <si>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</si>
  <si>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</si>
  <si>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</si>
  <si>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</si>
  <si>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</si>
  <si>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</si>
  <si>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</si>
  <si>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</si>
  <si>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</si>
  <si>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</si>
  <si>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</si>
  <si>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</si>
  <si>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</si>
  <si>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</si>
  <si>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</si>
  <si>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</si>
  <si>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</si>
  <si>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</si>
  <si>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</si>
  <si>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</si>
  <si>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</si>
  <si>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</si>
  <si>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</si>
  <si>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</si>
  <si>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</si>
  <si>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</si>
  <si>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</si>
  <si>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</si>
  <si>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</si>
  <si>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</si>
  <si>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</si>
  <si>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</si>
  <si>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</si>
  <si>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</si>
  <si>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</si>
  <si>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</si>
  <si>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</si>
  <si>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</si>
  <si>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</si>
  <si>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</si>
  <si>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</si>
  <si>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</si>
  <si>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</si>
  <si>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</si>
  <si>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</si>
  <si>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</si>
  <si>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</si>
  <si>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</si>
  <si>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</si>
  <si>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</si>
  <si>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</si>
  <si>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</si>
  <si>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</si>
  <si>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</si>
  <si>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</si>
  <si>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</si>
  <si>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</si>
  <si>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</si>
  <si>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</si>
  <si>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</si>
  <si>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</si>
  <si>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</si>
  <si>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</si>
  <si>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</si>
  <si>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</si>
  <si>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</si>
  <si>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</si>
  <si>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</si>
  <si>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</si>
  <si>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</si>
  <si>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</si>
  <si>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</si>
  <si>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</si>
  <si>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</si>
  <si>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</si>
  <si>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</si>
  <si>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</si>
  <si>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</si>
  <si>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</si>
  <si>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</si>
  <si>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</si>
  <si>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</si>
  <si>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</si>
  <si>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</si>
  <si>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</si>
  <si>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</si>
  <si>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</si>
  <si>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</si>
  <si>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</si>
  <si>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</si>
  <si>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</si>
  <si>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</si>
  <si>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</si>
  <si>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</si>
  <si>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</si>
  <si>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</si>
  <si>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</si>
  <si>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</si>
  <si>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</si>
  <si>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</si>
  <si>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</si>
  <si>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</si>
  <si>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</si>
  <si>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</si>
  <si>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</si>
  <si>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</si>
  <si>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</si>
  <si>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</si>
  <si>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</si>
  <si>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</si>
  <si>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</si>
  <si>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</si>
  <si>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</si>
  <si>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</si>
  <si>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</si>
  <si>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</si>
  <si>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</si>
  <si>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</si>
  <si>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</si>
  <si>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</si>
  <si>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</si>
  <si>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</si>
  <si>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</si>
  <si>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</si>
  <si>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</si>
  <si>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</si>
  <si>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</si>
  <si>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</si>
  <si>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</si>
  <si>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</si>
  <si>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</si>
  <si>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</si>
  <si>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</si>
  <si>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</si>
  <si>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</si>
  <si>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</si>
  <si>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</si>
  <si>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</si>
  <si>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</si>
  <si>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</si>
  <si>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</si>
  <si>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</si>
  <si>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</si>
  <si>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</si>
  <si>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</si>
  <si>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</si>
  <si>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</si>
  <si>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</si>
  <si>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</si>
  <si>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</si>
  <si>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</si>
  <si>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</si>
  <si>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</si>
  <si>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</si>
  <si>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</si>
  <si>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</si>
  <si>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</si>
  <si>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</si>
  <si>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</si>
  <si>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</si>
  <si>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</si>
  <si>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</si>
  <si>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</si>
  <si>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</si>
  <si>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</si>
  <si>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</si>
  <si>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</si>
  <si>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</si>
  <si>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</si>
  <si>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</si>
  <si>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</si>
  <si>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</si>
  <si>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</si>
  <si>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</si>
  <si>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</si>
  <si>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</si>
  <si>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</si>
  <si>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</si>
  <si>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</si>
  <si>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</si>
  <si>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</si>
  <si>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</si>
  <si>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</si>
  <si>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</si>
  <si>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</si>
  <si>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</si>
  <si>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</si>
  <si>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</si>
  <si>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</si>
  <si>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</si>
  <si>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</si>
  <si>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</si>
  <si>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</si>
  <si>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</si>
  <si>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</si>
  <si>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</si>
  <si>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</si>
  <si>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</si>
  <si>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</si>
  <si>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</si>
  <si>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</si>
  <si>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</si>
  <si>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</si>
  <si>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</si>
  <si>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</si>
  <si>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</si>
  <si>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</si>
  <si>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</si>
  <si>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</si>
  <si>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</si>
  <si>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</si>
  <si>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</si>
  <si>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</si>
  <si>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</si>
  <si>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</si>
  <si>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</si>
  <si>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</si>
  <si>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</si>
  <si>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</si>
  <si>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</si>
  <si>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</si>
  <si>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</si>
  <si>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</si>
  <si>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</si>
  <si>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</si>
  <si>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</si>
  <si>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</si>
  <si>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</si>
  <si>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</si>
  <si>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</si>
  <si>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</si>
  <si>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</si>
  <si>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</si>
  <si>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</si>
  <si>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</si>
  <si>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</si>
  <si>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</si>
  <si>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</si>
  <si>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</si>
  <si>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</si>
  <si>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</si>
  <si>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</si>
  <si>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</si>
  <si>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</si>
  <si>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</si>
  <si>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</si>
  <si>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</si>
  <si>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</si>
  <si>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</si>
  <si>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</si>
  <si>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</si>
  <si>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</si>
  <si>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</si>
  <si>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</si>
  <si>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</si>
  <si>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</si>
  <si>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</si>
  <si>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</si>
  <si>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</si>
  <si>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</si>
  <si>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</si>
  <si>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</si>
  <si>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</si>
  <si>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</si>
  <si>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</si>
  <si>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</si>
  <si>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</si>
  <si>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</si>
  <si>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</si>
  <si>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</si>
  <si>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</si>
  <si>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</si>
  <si>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</si>
  <si>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</si>
  <si>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</si>
  <si>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</si>
  <si>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</si>
  <si>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</si>
  <si>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</si>
  <si>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</si>
  <si>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</si>
  <si>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</si>
  <si>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</si>
  <si>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</si>
  <si>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</si>
  <si>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</si>
  <si>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</si>
  <si>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</si>
  <si>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</si>
  <si>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</si>
  <si>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</si>
  <si>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</si>
  <si>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</si>
  <si>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</si>
  <si>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</si>
  <si>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</si>
  <si>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</si>
  <si>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</si>
  <si>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</si>
  <si>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</si>
  <si>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</si>
  <si>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</si>
  <si>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</si>
  <si>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</si>
  <si>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</si>
  <si>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</si>
  <si>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</si>
  <si>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</si>
  <si>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</si>
  <si>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</si>
  <si>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</si>
  <si>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</si>
  <si>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</si>
  <si>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</si>
  <si>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</si>
  <si>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</si>
  <si>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</si>
  <si>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</si>
  <si>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</si>
  <si>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</si>
  <si>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</si>
  <si>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</si>
  <si>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</si>
  <si>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</si>
  <si>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</si>
  <si>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</si>
  <si>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</si>
  <si>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</si>
  <si>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</si>
  <si>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</si>
  <si>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</si>
  <si>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</si>
  <si>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</si>
  <si>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</si>
  <si>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</si>
  <si>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</si>
  <si>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</si>
  <si>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</si>
  <si>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</si>
  <si>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</si>
  <si>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</si>
  <si>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</si>
  <si>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</si>
  <si>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</si>
  <si>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</si>
  <si>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</si>
  <si>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</si>
  <si>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</si>
  <si>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</si>
  <si>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</si>
  <si>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</si>
  <si>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</si>
  <si>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</si>
  <si>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</si>
  <si>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</si>
  <si>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</si>
  <si>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</si>
  <si>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</si>
  <si>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</si>
  <si>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</si>
  <si>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</si>
  <si>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</si>
  <si>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</si>
  <si>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</si>
  <si>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</si>
  <si>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</si>
  <si>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</si>
  <si>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</si>
  <si>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</si>
  <si>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</si>
  <si>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</si>
  <si>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</si>
  <si>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</si>
  <si>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</si>
  <si>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</si>
  <si>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</si>
  <si>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</si>
  <si>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</si>
  <si>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</si>
  <si>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</si>
  <si>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</si>
  <si>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</si>
  <si>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</si>
  <si>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</si>
  <si>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</si>
  <si>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</si>
  <si>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</si>
  <si>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</si>
  <si>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</si>
  <si>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</si>
  <si>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</si>
  <si>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</si>
  <si>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</si>
  <si>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</si>
  <si>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</si>
  <si>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</si>
  <si>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</si>
  <si>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</si>
  <si>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</si>
  <si>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</si>
  <si>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</si>
  <si>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</si>
  <si>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</si>
  <si>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</si>
  <si>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</si>
  <si>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</si>
  <si>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</si>
  <si>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</si>
  <si>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</si>
  <si>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</si>
  <si>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</si>
  <si>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</si>
  <si>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</si>
  <si>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</si>
  <si>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</si>
  <si>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</si>
  <si>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</si>
  <si>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</si>
  <si>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</si>
  <si>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</si>
  <si>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</si>
  <si>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</si>
  <si>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</si>
  <si>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</si>
  <si>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</si>
  <si>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</si>
  <si>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</si>
  <si>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</si>
  <si>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</si>
  <si>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</si>
  <si>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</si>
  <si>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</si>
  <si>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</si>
  <si>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</si>
  <si>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</si>
  <si>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</si>
  <si>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</si>
  <si>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</si>
  <si>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</si>
  <si>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</si>
  <si>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</si>
  <si>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</si>
  <si>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</si>
  <si>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</si>
  <si>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</si>
  <si>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</si>
  <si>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</si>
  <si>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</si>
  <si>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</si>
  <si>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</si>
  <si>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</si>
  <si>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</si>
  <si>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</si>
  <si>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</si>
  <si>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</si>
  <si>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</si>
  <si>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</si>
  <si>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</si>
  <si>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</si>
  <si>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</si>
  <si>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</si>
  <si>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</si>
  <si>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</si>
  <si>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</si>
  <si>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</si>
  <si>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</si>
  <si>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</si>
  <si>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</si>
  <si>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</si>
  <si>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</si>
  <si>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</si>
  <si>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</si>
  <si>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</si>
  <si>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</si>
  <si>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</si>
  <si>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</si>
  <si>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</si>
  <si>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</si>
  <si>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</si>
  <si>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</si>
  <si>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</si>
  <si>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</si>
  <si>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</si>
  <si>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</si>
  <si>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</si>
  <si>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</si>
  <si>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</si>
  <si>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</si>
  <si>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</si>
  <si>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</si>
  <si>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</si>
  <si>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</si>
  <si>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</si>
  <si>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</si>
  <si>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</si>
  <si>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</si>
  <si>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</si>
  <si>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</si>
  <si>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</si>
  <si>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</si>
  <si>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</si>
  <si>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</si>
  <si>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</si>
  <si>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</si>
  <si>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</si>
  <si>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</si>
  <si>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</si>
  <si>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</si>
  <si>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</si>
  <si>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</si>
  <si>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</si>
  <si>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</si>
  <si>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</si>
  <si>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</si>
  <si>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</si>
  <si>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</si>
  <si>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</si>
  <si>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</si>
  <si>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</si>
  <si>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</si>
  <si>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</si>
  <si>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</si>
  <si>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</si>
  <si>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</si>
  <si>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</si>
  <si>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</si>
  <si>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</si>
  <si>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</si>
  <si>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</si>
  <si>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</si>
  <si>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</si>
  <si>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</si>
  <si>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</si>
  <si>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</si>
  <si>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</si>
  <si>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</si>
  <si>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</si>
  <si>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</si>
  <si>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</si>
  <si>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</si>
  <si>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</si>
  <si>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</si>
  <si>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</si>
  <si>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</si>
  <si>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</si>
  <si>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</si>
  <si>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</si>
  <si>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</si>
  <si>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</si>
  <si>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</si>
  <si>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</si>
  <si>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</si>
  <si>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</si>
  <si>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</si>
  <si>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</si>
  <si>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</si>
  <si>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</si>
  <si>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</si>
  <si>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</si>
  <si>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</si>
  <si>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</si>
  <si>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</si>
  <si>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</si>
  <si>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</si>
  <si>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</si>
  <si>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</si>
  <si>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</si>
  <si>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</si>
  <si>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</si>
  <si>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</si>
  <si>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</si>
  <si>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</si>
  <si>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</si>
  <si>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</si>
  <si>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</si>
  <si>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</si>
  <si>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</si>
  <si>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</si>
  <si>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</si>
  <si>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</si>
  <si>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</si>
  <si>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</si>
  <si>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</si>
  <si>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</si>
  <si>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</si>
  <si>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</si>
  <si>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</si>
  <si>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</si>
  <si>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</si>
  <si>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</si>
  <si>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</si>
  <si>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</si>
  <si>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</si>
  <si>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</si>
  <si>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</si>
  <si>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</si>
  <si>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</si>
  <si>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</si>
  <si>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</si>
  <si>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</si>
  <si>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</si>
  <si>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</si>
  <si>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</si>
  <si>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</si>
  <si>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</si>
  <si>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</si>
  <si>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</si>
  <si>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</si>
  <si>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</si>
  <si>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</si>
  <si>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</si>
  <si>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</si>
  <si>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</si>
  <si>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</si>
  <si>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</si>
  <si>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</si>
  <si>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</si>
  <si>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</si>
  <si>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</si>
  <si>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</si>
  <si>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</si>
  <si>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</si>
  <si>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</si>
  <si>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</si>
  <si>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</si>
  <si>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</si>
  <si>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</si>
  <si>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</si>
  <si>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</si>
  <si>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</si>
  <si>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</si>
  <si>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</si>
  <si>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</si>
  <si>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</si>
  <si>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</si>
  <si>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</si>
  <si>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</si>
  <si>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</si>
  <si>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</si>
  <si>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</si>
  <si>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</si>
  <si>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</si>
  <si>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</si>
  <si>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</si>
  <si>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</si>
  <si>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</si>
  <si>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</si>
  <si>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</si>
  <si>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</si>
  <si>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</si>
  <si>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</si>
  <si>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</si>
  <si>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</si>
  <si>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</si>
  <si>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</si>
  <si>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</si>
  <si>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</si>
  <si>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</si>
  <si>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</si>
  <si>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</si>
  <si>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</si>
  <si>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</si>
  <si>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</si>
  <si>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</si>
  <si>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</si>
  <si>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</si>
  <si>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</si>
  <si>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</si>
  <si>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</si>
  <si>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</si>
  <si>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</si>
  <si>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</si>
  <si>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</si>
  <si>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</si>
  <si>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</si>
  <si>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</si>
  <si>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</si>
  <si>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</si>
  <si>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</si>
  <si>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</si>
  <si>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</si>
  <si>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</si>
  <si>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</si>
  <si>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</si>
  <si>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</si>
  <si>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</si>
  <si>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</si>
  <si>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</si>
  <si>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</si>
  <si>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</si>
  <si>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</si>
  <si>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</si>
  <si>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</si>
  <si>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</si>
  <si>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</si>
  <si>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</si>
  <si>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</si>
  <si>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</si>
  <si>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</si>
  <si>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</si>
  <si>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</si>
  <si>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</si>
  <si>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</si>
  <si>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</si>
  <si>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</si>
  <si>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</si>
  <si>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</si>
  <si>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</si>
  <si>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</si>
  <si>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</si>
  <si>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</si>
  <si>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</si>
  <si>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</si>
  <si>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</si>
  <si>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</si>
  <si>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</si>
  <si>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</si>
  <si>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</si>
  <si>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</si>
  <si>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</si>
  <si>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</si>
  <si>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</si>
  <si>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</si>
  <si>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</si>
  <si>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</si>
  <si>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</si>
  <si>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</si>
  <si>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</si>
  <si>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</si>
  <si>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</si>
  <si>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</si>
  <si>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</si>
  <si>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</si>
  <si>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</si>
  <si>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</si>
  <si>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</si>
  <si>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</si>
  <si>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</si>
  <si>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</si>
  <si>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</si>
  <si>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</si>
  <si>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</si>
  <si>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</si>
  <si>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</si>
  <si>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</si>
  <si>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</si>
  <si>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</si>
  <si>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</si>
  <si>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</si>
  <si>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</si>
  <si>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</si>
  <si>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</si>
  <si>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</si>
  <si>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</si>
  <si>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</si>
  <si>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</si>
  <si>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</si>
  <si>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</si>
  <si>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</si>
  <si>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</si>
  <si>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</si>
  <si>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</si>
  <si>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</si>
  <si>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</si>
  <si>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</si>
  <si>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</si>
  <si>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</si>
  <si>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</si>
  <si>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</si>
  <si>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</si>
  <si>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</si>
  <si>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</si>
  <si>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</si>
  <si>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</si>
  <si>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</si>
  <si>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</si>
  <si>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</si>
  <si>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</si>
  <si>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</si>
  <si>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</si>
  <si>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</si>
  <si>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</si>
  <si>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</si>
  <si>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</si>
  <si>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</si>
  <si>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</si>
  <si>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</si>
  <si>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</si>
  <si>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</si>
  <si>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</si>
  <si>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/>
  </si>
  <si>
    <t>Unknown</t>
  </si>
  <si>
    <t>shipping_delay_days</t>
  </si>
  <si>
    <t>data_quality_flag</t>
  </si>
  <si>
    <t>duplicate_flag</t>
  </si>
  <si>
    <t>Cleaned discount</t>
  </si>
  <si>
    <t>calculated_sales</t>
  </si>
  <si>
    <t>calculated_profit</t>
  </si>
  <si>
    <t>profit_margin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</si>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</sst>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53C3A5-79C4-42D2-928A-DBE15AE744DA}">
  <we:reference id="wa200005281" version="1.0.0.0" store="en-U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3"/>
  <sheetViews>
    <sheetView topLeftCell="Q9" zoomScale="94" workbookViewId="0">
      <selection activeCell="N14" sqref="N14"/>
    </sheetView>
  </sheetViews>
  <sheetFormatPr defaultRowHeight="14"/>
  <cols>
    <col min="1" max="21" width="16" customWidth="1"/>
    <col min="23" max="23" width="10.58203125" bestFit="1" customWidth="1"/>
  </cols>
  <sheetData>
    <row r="1" spans="1:23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W2" s="3"/>
    </row>
    <row r="3" spans="1:2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W3" s="3"/>
    </row>
    <row r="4" spans="1:2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W4" s="3"/>
    </row>
    <row r="5" spans="1:2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W5" s="3"/>
    </row>
    <row r="6" spans="1:23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W6" s="3"/>
    </row>
    <row r="7" spans="1:2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W7" s="3"/>
    </row>
    <row r="8" spans="1:23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W8" s="3"/>
    </row>
    <row r="9" spans="1:23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W9" s="3"/>
    </row>
    <row r="10" spans="1:2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W10" s="3"/>
    </row>
    <row r="11" spans="1:23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W11" s="3"/>
    </row>
    <row r="12" spans="1:23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W12" s="3"/>
    </row>
    <row r="13" spans="1:23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W13" s="3"/>
    </row>
    <row r="14" spans="1:23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W14" s="3"/>
    </row>
    <row r="15" spans="1:2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W15" s="3"/>
    </row>
    <row r="16" spans="1:23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W16" s="3"/>
    </row>
    <row r="17" spans="1:23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W17" s="3"/>
    </row>
    <row r="18" spans="1:2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W18" s="3"/>
    </row>
    <row r="19" spans="1:23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W19" s="3"/>
    </row>
    <row r="20" spans="1:23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W20" s="3"/>
    </row>
    <row r="21" spans="1:23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W21" s="3"/>
    </row>
    <row r="22" spans="1:23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W22" s="3"/>
    </row>
    <row r="23" spans="1:23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W23" s="3"/>
    </row>
    <row r="24" spans="1:23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W24" s="3"/>
    </row>
    <row r="25" spans="1:23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W25" s="3"/>
    </row>
    <row r="26" spans="1:23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W26" s="3"/>
    </row>
    <row r="27" spans="1:23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W27" s="3"/>
    </row>
    <row r="28" spans="1:23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W28" s="3"/>
    </row>
    <row r="29" spans="1:23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W29" s="3"/>
    </row>
    <row r="30" spans="1:23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W30" s="3"/>
    </row>
    <row r="31" spans="1:23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W31" s="3"/>
    </row>
    <row r="32" spans="1:23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W32" s="3"/>
    </row>
    <row r="33" spans="1:23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W33" s="3"/>
    </row>
    <row r="34" spans="1:23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W34" s="3"/>
    </row>
    <row r="35" spans="1:23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W35" s="3"/>
    </row>
    <row r="36" spans="1:23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W36" s="3"/>
    </row>
    <row r="37" spans="1:23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W37" s="3"/>
    </row>
    <row r="38" spans="1:23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W38" s="3"/>
    </row>
    <row r="39" spans="1:23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W39" s="3"/>
    </row>
    <row r="40" spans="1:23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W40" s="3"/>
    </row>
    <row r="41" spans="1:23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W41" s="3"/>
    </row>
    <row r="42" spans="1:23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W42" s="3"/>
    </row>
    <row r="43" spans="1:23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W43" s="3"/>
    </row>
    <row r="44" spans="1:23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W44" s="3"/>
    </row>
    <row r="45" spans="1:23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W45" s="3"/>
    </row>
    <row r="46" spans="1:23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W46" s="3"/>
    </row>
    <row r="47" spans="1:23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W47" s="3"/>
    </row>
    <row r="48" spans="1:23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W48" s="3"/>
    </row>
    <row r="49" spans="1:23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W49" s="3"/>
    </row>
    <row r="50" spans="1:23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W50" s="3"/>
    </row>
    <row r="51" spans="1:23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W51" s="3"/>
    </row>
    <row r="52" spans="1:23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W52" s="3"/>
    </row>
    <row r="53" spans="1:23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W53" s="3"/>
    </row>
    <row r="54" spans="1:23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W54" s="3"/>
    </row>
    <row r="55" spans="1:23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W55" s="3"/>
    </row>
    <row r="56" spans="1:23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W56" s="3"/>
    </row>
    <row r="57" spans="1:23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W57" s="3"/>
    </row>
    <row r="58" spans="1:23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W58" s="3"/>
    </row>
    <row r="59" spans="1:23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W59" s="3"/>
    </row>
    <row r="60" spans="1:23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W60" s="3"/>
    </row>
    <row r="61" spans="1:23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W61" s="3"/>
    </row>
    <row r="62" spans="1:23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W62" s="3"/>
    </row>
    <row r="63" spans="1:23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W63" s="3"/>
    </row>
    <row r="64" spans="1:23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W64" s="3"/>
    </row>
    <row r="65" spans="1:23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W65" s="3"/>
    </row>
    <row r="66" spans="1:23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W66" s="3"/>
    </row>
    <row r="67" spans="1:23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W67" s="3"/>
    </row>
    <row r="68" spans="1:23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W68" s="3"/>
    </row>
    <row r="69" spans="1:23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W69" s="3"/>
    </row>
    <row r="70" spans="1:23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W70" s="3"/>
    </row>
    <row r="71" spans="1:23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W71" s="3"/>
    </row>
    <row r="72" spans="1:23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W72" s="3"/>
    </row>
    <row r="73" spans="1:23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W73" s="3"/>
    </row>
    <row r="74" spans="1:23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W74" s="3"/>
    </row>
    <row r="75" spans="1:23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W75" s="3"/>
    </row>
    <row r="76" spans="1:23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W76" s="3"/>
    </row>
    <row r="77" spans="1:23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W77" s="3"/>
    </row>
    <row r="78" spans="1:23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W78" s="3"/>
    </row>
    <row r="79" spans="1:23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W79" s="3"/>
    </row>
    <row r="80" spans="1:23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W80" s="3"/>
    </row>
    <row r="81" spans="1:23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W81" s="3"/>
    </row>
    <row r="82" spans="1:23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W82" s="3"/>
    </row>
    <row r="83" spans="1:23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W83" s="3"/>
    </row>
    <row r="84" spans="1:23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W84" s="3"/>
    </row>
    <row r="85" spans="1:23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W85" s="3"/>
    </row>
    <row r="86" spans="1:23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W86" s="3"/>
    </row>
    <row r="87" spans="1:23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W87" s="3"/>
    </row>
    <row r="88" spans="1:23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W88" s="3"/>
    </row>
    <row r="89" spans="1:23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W89" s="3"/>
    </row>
    <row r="90" spans="1:23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W90" s="3"/>
    </row>
    <row r="91" spans="1:23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W91" s="3"/>
    </row>
    <row r="92" spans="1:23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W92" s="3"/>
    </row>
    <row r="93" spans="1:23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W93" s="3"/>
    </row>
    <row r="94" spans="1:23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W94" s="3"/>
    </row>
    <row r="95" spans="1:23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W95" s="3"/>
    </row>
    <row r="96" spans="1:23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W96" s="3"/>
    </row>
    <row r="97" spans="1:23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W97" s="3"/>
    </row>
    <row r="98" spans="1:23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W98" s="3"/>
    </row>
    <row r="99" spans="1:23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W99" s="3"/>
    </row>
    <row r="100" spans="1:23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W100" s="3"/>
    </row>
    <row r="101" spans="1:23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W101" s="3"/>
    </row>
    <row r="102" spans="1:23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W102" s="3"/>
    </row>
    <row r="103" spans="1:23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W103" s="3"/>
    </row>
    <row r="104" spans="1:23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W104" s="3"/>
    </row>
    <row r="105" spans="1:23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W105" s="3"/>
    </row>
    <row r="106" spans="1:23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W106" s="3"/>
    </row>
    <row r="107" spans="1:23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W107" s="3"/>
    </row>
    <row r="108" spans="1:23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W108" s="3"/>
    </row>
    <row r="109" spans="1:23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W109" s="3"/>
    </row>
    <row r="110" spans="1:23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W110" s="3"/>
    </row>
    <row r="111" spans="1:23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W111" s="3"/>
    </row>
    <row r="112" spans="1:23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W112" s="3"/>
    </row>
    <row r="113" spans="1:23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W113" s="3"/>
    </row>
    <row r="114" spans="1:23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W114" s="3"/>
    </row>
    <row r="115" spans="1:23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W115" s="3"/>
    </row>
    <row r="116" spans="1:23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W116" s="3"/>
    </row>
    <row r="117" spans="1:23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W117" s="3"/>
    </row>
    <row r="118" spans="1:23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W118" s="3"/>
    </row>
    <row r="119" spans="1:23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W119" s="3"/>
    </row>
    <row r="120" spans="1:23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W120" s="3"/>
    </row>
    <row r="121" spans="1:23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W121" s="3"/>
    </row>
    <row r="122" spans="1:23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W122" s="3"/>
    </row>
    <row r="123" spans="1:23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W123" s="3"/>
    </row>
    <row r="124" spans="1:23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W124" s="3"/>
    </row>
    <row r="125" spans="1:23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W125" s="3"/>
    </row>
    <row r="126" spans="1:23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W126" s="3"/>
    </row>
    <row r="127" spans="1:23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W127" s="3"/>
    </row>
    <row r="128" spans="1:23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W128" s="3"/>
    </row>
    <row r="129" spans="1:23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W129" s="3"/>
    </row>
    <row r="130" spans="1:23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W130" s="3"/>
    </row>
    <row r="131" spans="1:23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W131" s="3"/>
    </row>
    <row r="132" spans="1:23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W132" s="3"/>
    </row>
    <row r="133" spans="1:23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W133" s="3"/>
    </row>
    <row r="134" spans="1:23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W134" s="3"/>
    </row>
    <row r="135" spans="1:23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W135" s="3"/>
    </row>
    <row r="136" spans="1:23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W136" s="3"/>
    </row>
    <row r="137" spans="1:23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3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3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3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3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3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3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3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FE00-DDD0-4239-B449-293452ED9A2D}">
  <dimension ref="A1:AD933"/>
  <sheetViews>
    <sheetView tabSelected="1" workbookViewId="0">
      <selection activeCell="B6" sqref="B6"/>
    </sheetView>
  </sheetViews>
  <sheetFormatPr defaultRowHeight="14"/>
  <cols>
    <col min="1" max="1" width="15.08203125" bestFit="1" customWidth="1"/>
    <col min="2" max="2" width="15.08203125" customWidth="1"/>
    <col min="3" max="3" width="11.25" style="3" bestFit="1" customWidth="1"/>
    <col min="4" max="4" width="11.25" bestFit="1" customWidth="1"/>
    <col min="5" max="5" width="10.4140625" bestFit="1" customWidth="1"/>
    <col min="6" max="6" width="13.75" bestFit="1" customWidth="1"/>
    <col min="7" max="7" width="16.9140625" bestFit="1" customWidth="1"/>
    <col min="8" max="8" width="10.25" bestFit="1" customWidth="1"/>
    <col min="9" max="9" width="14.4140625" bestFit="1" customWidth="1"/>
    <col min="10" max="10" width="11.5" bestFit="1" customWidth="1"/>
    <col min="11" max="11" width="17.1640625" bestFit="1" customWidth="1"/>
    <col min="12" max="12" width="10.6640625" bestFit="1" customWidth="1"/>
    <col min="13" max="13" width="20.6640625" bestFit="1" customWidth="1"/>
    <col min="14" max="14" width="17.75" bestFit="1" customWidth="1"/>
    <col min="15" max="15" width="7.5" bestFit="1" customWidth="1"/>
    <col min="16" max="17" width="8.08203125" bestFit="1" customWidth="1"/>
    <col min="18" max="20" width="8.75" bestFit="1" customWidth="1"/>
    <col min="21" max="21" width="9.1640625" bestFit="1" customWidth="1"/>
    <col min="22" max="22" width="12.33203125" bestFit="1" customWidth="1"/>
  </cols>
  <sheetData>
    <row r="1" spans="1:30" ht="42">
      <c r="A1" s="1" t="s">
        <v>0</v>
      </c>
      <c r="B1" s="1" t="s">
        <v>4113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4114</v>
      </c>
      <c r="X1" s="1" t="s">
        <v>4111</v>
      </c>
      <c r="Y1" s="1" t="s">
        <v>4115</v>
      </c>
      <c r="Z1" s="1" t="s">
        <v>4116</v>
      </c>
      <c r="AA1" s="1" t="s">
        <v>4117</v>
      </c>
      <c r="AB1" s="1" t="s">
        <v>4118</v>
      </c>
      <c r="AC1" s="1" t="s">
        <v>4119</v>
      </c>
      <c r="AD1" s="1" t="s">
        <v>4112</v>
      </c>
    </row>
    <row r="2" spans="1:30">
      <c r="A2" t="s">
        <v>21</v>
      </c>
      <c r="B2" t="str">
        <f>IF(COUNTIF(A:A, A2)&gt;1, "Review: Duplicate Order ID", "Unique")</f>
        <v>Unique</v>
      </c>
      <c r="C2" s="3">
        <v>45494</v>
      </c>
      <c r="D2" s="3">
        <v>45500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34</v>
      </c>
      <c r="V2" t="s">
        <v>35</v>
      </c>
      <c r="W2">
        <f>IF(ISBLANK(Q2), 0, IFERROR(VALUE(Q2), 0.7))</f>
        <v>0.2</v>
      </c>
      <c r="X2">
        <f>D2 - C2</f>
        <v>6</v>
      </c>
      <c r="Y2">
        <f>O2 * P2 * (1 - W2)</f>
        <v>19049.28</v>
      </c>
      <c r="Z2">
        <f>Y2 - S2</f>
        <v>3207.3899999999994</v>
      </c>
      <c r="AA2">
        <f>IFERROR(Z2 / Y2, 0)</f>
        <v>0.16837329284886357</v>
      </c>
      <c r="AB2" t="str">
        <f>TEXT(C2, "mmmm")</f>
        <v>July</v>
      </c>
      <c r="AC2">
        <f>YEAR(C2)</f>
        <v>2024</v>
      </c>
      <c r="AD2" t="str">
        <f>IF(X2&lt;0, "Invalid: Ship Date Before Order Date", IF(W2&lt;0, "Invalid: Negative Discount", IF(W2&gt;0.5, "Invalid: Exceeds Allowed Discount", "OK")))</f>
        <v>OK</v>
      </c>
    </row>
    <row r="3" spans="1:30">
      <c r="A3" t="s">
        <v>36</v>
      </c>
      <c r="B3" t="str">
        <f t="shared" ref="B3:B66" si="0">IF(COUNTIF(A:A, A3)&gt;1, "Review: Duplicate Order ID", "Unique")</f>
        <v>Unique</v>
      </c>
      <c r="C3" s="3">
        <v>45535</v>
      </c>
      <c r="D3" s="3">
        <v>45540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34</v>
      </c>
      <c r="V3" t="s">
        <v>35</v>
      </c>
      <c r="W3">
        <f>IF(ISBLANK(Q3), 0, IFERROR(VALUE(Q3), 0.7))</f>
        <v>0</v>
      </c>
      <c r="X3">
        <f>D3 - C3</f>
        <v>5</v>
      </c>
      <c r="Y3">
        <f>O3 * P3 * (1 - W3)</f>
        <v>7312.5</v>
      </c>
      <c r="Z3">
        <f>Y3 - S3</f>
        <v>2407.7700000000004</v>
      </c>
      <c r="AA3">
        <f>IFERROR(Z3 / Y3, 0)</f>
        <v>0.32926769230769237</v>
      </c>
      <c r="AB3" t="str">
        <f>TEXT(C3, "mmmm")</f>
        <v>August</v>
      </c>
      <c r="AC3">
        <f>YEAR(C3)</f>
        <v>2024</v>
      </c>
      <c r="AD3" t="str">
        <f>IF(X3&lt;0, "Invalid: Ship Date Before Order Date", IF(W3&lt;0, "Invalid: Negative Discount", IF(W3&gt;0.5, "Invalid: Exceeds Allowed Discount", "OK")))</f>
        <v>OK</v>
      </c>
    </row>
    <row r="4" spans="1:30">
      <c r="A4" t="s">
        <v>49</v>
      </c>
      <c r="B4" t="str">
        <f t="shared" si="0"/>
        <v>Unique</v>
      </c>
      <c r="C4" s="3">
        <v>45451</v>
      </c>
      <c r="D4" s="3">
        <v>45458</v>
      </c>
      <c r="E4" t="s">
        <v>52</v>
      </c>
      <c r="F4" t="s">
        <v>53</v>
      </c>
      <c r="G4" t="s">
        <v>26</v>
      </c>
      <c r="H4" t="s">
        <v>42</v>
      </c>
      <c r="I4" t="s">
        <v>43</v>
      </c>
      <c r="J4" t="s">
        <v>44</v>
      </c>
      <c r="K4" t="s">
        <v>30</v>
      </c>
      <c r="L4" t="s">
        <v>54</v>
      </c>
      <c r="M4" t="s">
        <v>55</v>
      </c>
      <c r="N4" t="s">
        <v>56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34</v>
      </c>
      <c r="V4" t="s">
        <v>35</v>
      </c>
      <c r="W4">
        <f>IF(ISBLANK(Q4), 0, IFERROR(VALUE(Q4), 0.7))</f>
        <v>0.55000000000000004</v>
      </c>
      <c r="X4">
        <f>D4 - C4</f>
        <v>7</v>
      </c>
      <c r="Y4">
        <f>O4 * P4 * (1 - W4)</f>
        <v>1917.7739999999999</v>
      </c>
      <c r="Z4">
        <f>Y4 - S4</f>
        <v>-547.91600000000017</v>
      </c>
      <c r="AA4">
        <f>IFERROR(Z4 / Y4, 0)</f>
        <v>-0.28570415492127865</v>
      </c>
      <c r="AB4" t="str">
        <f>TEXT(C4, "mmmm")</f>
        <v>June</v>
      </c>
      <c r="AC4">
        <f>YEAR(C4)</f>
        <v>2024</v>
      </c>
      <c r="AD4" t="str">
        <f>IF(X4&lt;0, "Invalid: Ship Date Before Order Date", IF(W4&lt;0, "Invalid: Negative Discount", IF(W4&gt;0.5, "Invalid: Exceeds Allowed Discount", "OK")))</f>
        <v>Invalid: Exceeds Allowed Discount</v>
      </c>
    </row>
    <row r="5" spans="1:30">
      <c r="A5" t="s">
        <v>57</v>
      </c>
      <c r="B5" t="str">
        <f t="shared" si="0"/>
        <v>Unique</v>
      </c>
      <c r="C5" s="3">
        <v>45624</v>
      </c>
      <c r="D5" s="3">
        <v>45625</v>
      </c>
      <c r="E5" t="s">
        <v>60</v>
      </c>
      <c r="F5" t="s">
        <v>61</v>
      </c>
      <c r="G5" t="s">
        <v>41</v>
      </c>
      <c r="H5" t="s">
        <v>62</v>
      </c>
      <c r="I5" t="s">
        <v>63</v>
      </c>
      <c r="J5" t="s">
        <v>64</v>
      </c>
      <c r="K5" t="s">
        <v>45</v>
      </c>
      <c r="L5" t="s">
        <v>65</v>
      </c>
      <c r="M5" t="s">
        <v>66</v>
      </c>
      <c r="N5" t="s">
        <v>67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34</v>
      </c>
      <c r="V5" t="s">
        <v>35</v>
      </c>
      <c r="W5">
        <f>IF(ISBLANK(Q5), 0, IFERROR(VALUE(Q5), 0.7))</f>
        <v>0.25</v>
      </c>
      <c r="X5">
        <f>D5 - C5</f>
        <v>1</v>
      </c>
      <c r="Y5">
        <f>O5 * P5 * (1 - W5)</f>
        <v>8317.9349999999995</v>
      </c>
      <c r="Z5">
        <f>Y5 - S5</f>
        <v>1521.1649999999991</v>
      </c>
      <c r="AA5">
        <f>IFERROR(Z5 / Y5, 0)</f>
        <v>0.18287772145370204</v>
      </c>
      <c r="AB5" t="str">
        <f>TEXT(C5, "mmmm")</f>
        <v>November</v>
      </c>
      <c r="AC5">
        <f>YEAR(C5)</f>
        <v>2024</v>
      </c>
      <c r="AD5" t="str">
        <f>IF(X5&lt;0, "Invalid: Ship Date Before Order Date", IF(W5&lt;0, "Invalid: Negative Discount", IF(W5&gt;0.5, "Invalid: Exceeds Allowed Discount", "OK")))</f>
        <v>OK</v>
      </c>
    </row>
    <row r="6" spans="1:30">
      <c r="A6" t="s">
        <v>68</v>
      </c>
      <c r="B6" t="str">
        <f t="shared" si="0"/>
        <v>Unique</v>
      </c>
      <c r="C6" s="3">
        <v>45898</v>
      </c>
      <c r="D6" s="3">
        <v>45901</v>
      </c>
      <c r="E6" t="s">
        <v>71</v>
      </c>
      <c r="F6" t="s">
        <v>72</v>
      </c>
      <c r="G6" t="s">
        <v>41</v>
      </c>
      <c r="H6" t="s">
        <v>73</v>
      </c>
      <c r="I6" t="s">
        <v>74</v>
      </c>
      <c r="J6" t="s">
        <v>75</v>
      </c>
      <c r="K6" t="s">
        <v>45</v>
      </c>
      <c r="L6" t="s">
        <v>76</v>
      </c>
      <c r="M6" t="s">
        <v>77</v>
      </c>
      <c r="N6" t="s">
        <v>56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34</v>
      </c>
      <c r="V6" t="s">
        <v>78</v>
      </c>
      <c r="W6">
        <f>IF(ISBLANK(Q6), 0, IFERROR(VALUE(Q6), 0.7))</f>
        <v>0</v>
      </c>
      <c r="X6">
        <f>D6 - C6</f>
        <v>3</v>
      </c>
      <c r="Y6">
        <f>O6 * P6 * (1 - W6)</f>
        <v>20816.32</v>
      </c>
      <c r="Z6">
        <f>Y6 - S6</f>
        <v>3110.9500000000007</v>
      </c>
      <c r="AA6">
        <f>IFERROR(Z6 / Y6, 0)</f>
        <v>0.14944764492475138</v>
      </c>
      <c r="AB6" t="str">
        <f>TEXT(C6, "mmmm")</f>
        <v>August</v>
      </c>
      <c r="AC6">
        <f>YEAR(C6)</f>
        <v>2025</v>
      </c>
      <c r="AD6" t="str">
        <f>IF(X6&lt;0, "Invalid: Ship Date Before Order Date", IF(W6&lt;0, "Invalid: Negative Discount", IF(W6&gt;0.5, "Invalid: Exceeds Allowed Discount", "OK")))</f>
        <v>OK</v>
      </c>
    </row>
    <row r="7" spans="1:30">
      <c r="A7" t="s">
        <v>79</v>
      </c>
      <c r="B7" t="str">
        <f t="shared" si="0"/>
        <v>Unique</v>
      </c>
      <c r="C7" s="3">
        <v>45436</v>
      </c>
      <c r="D7" s="3">
        <v>45440</v>
      </c>
      <c r="E7" t="s">
        <v>82</v>
      </c>
      <c r="F7" t="s">
        <v>83</v>
      </c>
      <c r="G7" t="s">
        <v>41</v>
      </c>
      <c r="H7" t="s">
        <v>73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48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34</v>
      </c>
      <c r="V7" t="s">
        <v>35</v>
      </c>
      <c r="W7">
        <f>IF(ISBLANK(Q7), 0, IFERROR(VALUE(Q7), 0.7))</f>
        <v>0.2</v>
      </c>
      <c r="X7">
        <f>D7 - C7</f>
        <v>4</v>
      </c>
      <c r="Y7">
        <f>O7 * P7 * (1 - W7)</f>
        <v>2527.4639999999999</v>
      </c>
      <c r="Z7">
        <f>Y7 - S7</f>
        <v>993.88400000000001</v>
      </c>
      <c r="AA7">
        <f>IFERROR(Z7 / Y7, 0)</f>
        <v>0.39323369195367375</v>
      </c>
      <c r="AB7" t="str">
        <f>TEXT(C7, "mmmm")</f>
        <v>May</v>
      </c>
      <c r="AC7">
        <f>YEAR(C7)</f>
        <v>2024</v>
      </c>
      <c r="AD7" t="str">
        <f>IF(X7&lt;0, "Invalid: Ship Date Before Order Date", IF(W7&lt;0, "Invalid: Negative Discount", IF(W7&gt;0.5, "Invalid: Exceeds Allowed Discount", "OK")))</f>
        <v>OK</v>
      </c>
    </row>
    <row r="8" spans="1:30">
      <c r="A8" t="s">
        <v>89</v>
      </c>
      <c r="B8" t="str">
        <f t="shared" si="0"/>
        <v>Unique</v>
      </c>
      <c r="C8" s="3">
        <v>45757</v>
      </c>
      <c r="D8" s="3">
        <v>45763</v>
      </c>
      <c r="E8" t="s">
        <v>92</v>
      </c>
      <c r="F8" t="s">
        <v>93</v>
      </c>
      <c r="G8" t="s">
        <v>26</v>
      </c>
      <c r="H8" t="s">
        <v>42</v>
      </c>
      <c r="I8" t="s">
        <v>43</v>
      </c>
      <c r="J8" t="s">
        <v>44</v>
      </c>
      <c r="K8" t="s">
        <v>86</v>
      </c>
      <c r="L8" t="s">
        <v>94</v>
      </c>
      <c r="M8" t="s">
        <v>95</v>
      </c>
      <c r="N8" t="s">
        <v>67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34</v>
      </c>
      <c r="V8" t="s">
        <v>35</v>
      </c>
      <c r="W8">
        <f>IF(ISBLANK(Q8), 0, IFERROR(VALUE(Q8), 0.7))</f>
        <v>0.15</v>
      </c>
      <c r="X8">
        <f>D8 - C8</f>
        <v>6</v>
      </c>
      <c r="Y8">
        <f>O8 * P8 * (1 - W8)</f>
        <v>5847.5579999999991</v>
      </c>
      <c r="Z8">
        <f>Y8 - S8</f>
        <v>1120.3079999999991</v>
      </c>
      <c r="AA8">
        <f>IFERROR(Z8 / Y8, 0)</f>
        <v>0.19158561573908275</v>
      </c>
      <c r="AB8" t="str">
        <f>TEXT(C8, "mmmm")</f>
        <v>April</v>
      </c>
      <c r="AC8">
        <f>YEAR(C8)</f>
        <v>2025</v>
      </c>
      <c r="AD8" t="str">
        <f>IF(X8&lt;0, "Invalid: Ship Date Before Order Date", IF(W8&lt;0, "Invalid: Negative Discount", IF(W8&gt;0.5, "Invalid: Exceeds Allowed Discount", "OK")))</f>
        <v>OK</v>
      </c>
    </row>
    <row r="9" spans="1:30">
      <c r="A9" t="s">
        <v>96</v>
      </c>
      <c r="B9" t="str">
        <f t="shared" si="0"/>
        <v>Unique</v>
      </c>
      <c r="C9" s="3">
        <v>45711</v>
      </c>
      <c r="D9" s="3">
        <v>45714</v>
      </c>
      <c r="E9" t="s">
        <v>99</v>
      </c>
      <c r="F9" t="s">
        <v>53</v>
      </c>
      <c r="G9" t="s">
        <v>41</v>
      </c>
      <c r="H9" t="s">
        <v>62</v>
      </c>
      <c r="I9" t="s">
        <v>100</v>
      </c>
      <c r="J9" t="s">
        <v>101</v>
      </c>
      <c r="K9" t="s">
        <v>30</v>
      </c>
      <c r="L9" t="s">
        <v>54</v>
      </c>
      <c r="M9" t="s">
        <v>102</v>
      </c>
      <c r="N9" t="s">
        <v>56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34</v>
      </c>
      <c r="V9" t="s">
        <v>35</v>
      </c>
      <c r="W9">
        <f>IF(ISBLANK(Q9), 0, IFERROR(VALUE(Q9), 0.7))</f>
        <v>0</v>
      </c>
      <c r="X9">
        <f>D9 - C9</f>
        <v>3</v>
      </c>
      <c r="Y9">
        <f>O9 * P9 * (1 - W9)</f>
        <v>2980.71</v>
      </c>
      <c r="Z9">
        <f>Y9 - S9</f>
        <v>623.49000000000024</v>
      </c>
      <c r="AA9">
        <f>IFERROR(Z9 / Y9, 0)</f>
        <v>0.20917499521925992</v>
      </c>
      <c r="AB9" t="str">
        <f>TEXT(C9, "mmmm")</f>
        <v>February</v>
      </c>
      <c r="AC9">
        <f>YEAR(C9)</f>
        <v>2025</v>
      </c>
      <c r="AD9" t="str">
        <f>IF(X9&lt;0, "Invalid: Ship Date Before Order Date", IF(W9&lt;0, "Invalid: Negative Discount", IF(W9&gt;0.5, "Invalid: Exceeds Allowed Discount", "OK")))</f>
        <v>OK</v>
      </c>
    </row>
    <row r="10" spans="1:30">
      <c r="A10" t="s">
        <v>103</v>
      </c>
      <c r="B10" t="str">
        <f t="shared" si="0"/>
        <v>Unique</v>
      </c>
      <c r="C10" s="3">
        <v>45601</v>
      </c>
      <c r="D10" s="3">
        <v>45606</v>
      </c>
      <c r="E10" t="s">
        <v>106</v>
      </c>
      <c r="F10" t="s">
        <v>107</v>
      </c>
      <c r="G10" t="s">
        <v>108</v>
      </c>
      <c r="H10" t="s">
        <v>62</v>
      </c>
      <c r="I10" t="s">
        <v>63</v>
      </c>
      <c r="J10" t="s">
        <v>64</v>
      </c>
      <c r="K10" t="s">
        <v>30</v>
      </c>
      <c r="L10" t="s">
        <v>109</v>
      </c>
      <c r="M10" t="s">
        <v>110</v>
      </c>
      <c r="N10" t="s">
        <v>56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34</v>
      </c>
      <c r="V10" t="s">
        <v>35</v>
      </c>
      <c r="W10">
        <f>IF(ISBLANK(Q10), 0, IFERROR(VALUE(Q10), 0.7))</f>
        <v>0</v>
      </c>
      <c r="X10">
        <f>D10 - C10</f>
        <v>5</v>
      </c>
      <c r="Y10">
        <f>O10 * P10 * (1 - W10)</f>
        <v>25073.599999999999</v>
      </c>
      <c r="Z10">
        <f>Y10 - S10</f>
        <v>7726.369999999999</v>
      </c>
      <c r="AA10">
        <f>IFERROR(Z10 / Y10, 0)</f>
        <v>0.30814761342607361</v>
      </c>
      <c r="AB10" t="str">
        <f>TEXT(C10, "mmmm")</f>
        <v>November</v>
      </c>
      <c r="AC10">
        <f>YEAR(C10)</f>
        <v>2024</v>
      </c>
      <c r="AD10" t="str">
        <f>IF(X10&lt;0, "Invalid: Ship Date Before Order Date", IF(W10&lt;0, "Invalid: Negative Discount", IF(W10&gt;0.5, "Invalid: Exceeds Allowed Discount", "OK")))</f>
        <v>OK</v>
      </c>
    </row>
    <row r="11" spans="1:30">
      <c r="A11" t="s">
        <v>111</v>
      </c>
      <c r="B11" t="str">
        <f t="shared" si="0"/>
        <v>Unique</v>
      </c>
      <c r="C11" s="3">
        <v>45847</v>
      </c>
      <c r="D11" s="3">
        <v>45912</v>
      </c>
      <c r="E11" t="s">
        <v>114</v>
      </c>
      <c r="F11" t="s">
        <v>40</v>
      </c>
      <c r="G11" t="s">
        <v>115</v>
      </c>
      <c r="H11" t="s">
        <v>62</v>
      </c>
      <c r="I11" t="s">
        <v>63</v>
      </c>
      <c r="J11" t="s">
        <v>64</v>
      </c>
      <c r="K11" t="s">
        <v>30</v>
      </c>
      <c r="L11" t="s">
        <v>31</v>
      </c>
      <c r="M11" t="s">
        <v>116</v>
      </c>
      <c r="N11" t="s">
        <v>33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34</v>
      </c>
      <c r="V11" t="s">
        <v>35</v>
      </c>
      <c r="W11">
        <f>IF(ISBLANK(Q11), 0, IFERROR(VALUE(Q11), 0.7))</f>
        <v>0.2</v>
      </c>
      <c r="X11">
        <f>D11 - C11</f>
        <v>65</v>
      </c>
      <c r="Y11">
        <f>O11 * P11 * (1 - W11)</f>
        <v>6134.6880000000001</v>
      </c>
      <c r="Z11">
        <f>Y11 - S11</f>
        <v>2334.498</v>
      </c>
      <c r="AA11">
        <f>IFERROR(Z11 / Y11, 0)</f>
        <v>0.38054062407085737</v>
      </c>
      <c r="AB11" t="str">
        <f>TEXT(C11, "mmmm")</f>
        <v>July</v>
      </c>
      <c r="AC11">
        <f>YEAR(C11)</f>
        <v>2025</v>
      </c>
      <c r="AD11" t="str">
        <f>IF(X11&lt;0, "Invalid: Ship Date Before Order Date", IF(W11&lt;0, "Invalid: Negative Discount", IF(W11&gt;0.5, "Invalid: Exceeds Allowed Discount", "OK")))</f>
        <v>OK</v>
      </c>
    </row>
    <row r="12" spans="1:30">
      <c r="A12" t="s">
        <v>117</v>
      </c>
      <c r="B12" t="str">
        <f t="shared" si="0"/>
        <v>Unique</v>
      </c>
      <c r="C12" s="3">
        <v>45797</v>
      </c>
      <c r="D12" s="3">
        <v>45797</v>
      </c>
      <c r="E12" t="s">
        <v>120</v>
      </c>
      <c r="F12" t="s">
        <v>72</v>
      </c>
      <c r="G12" t="s">
        <v>108</v>
      </c>
      <c r="H12" t="s">
        <v>42</v>
      </c>
      <c r="I12" t="s">
        <v>121</v>
      </c>
      <c r="J12" t="s">
        <v>122</v>
      </c>
      <c r="K12" t="s">
        <v>30</v>
      </c>
      <c r="L12" t="s">
        <v>109</v>
      </c>
      <c r="M12" t="s">
        <v>123</v>
      </c>
      <c r="N12" t="s">
        <v>33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124</v>
      </c>
      <c r="V12" t="s">
        <v>125</v>
      </c>
      <c r="W12">
        <f>IF(ISBLANK(Q12), 0, IFERROR(VALUE(Q12), 0.7))</f>
        <v>0.05</v>
      </c>
      <c r="X12">
        <f>D12 - C12</f>
        <v>0</v>
      </c>
      <c r="Y12">
        <f>O12 * P12 * (1 - W12)</f>
        <v>10074.2655</v>
      </c>
      <c r="Z12">
        <f>Y12 - S12</f>
        <v>4025.9954999999991</v>
      </c>
      <c r="AA12">
        <f>IFERROR(Z12 / Y12, 0)</f>
        <v>0.39963166545491574</v>
      </c>
      <c r="AB12" t="str">
        <f>TEXT(C12, "mmmm")</f>
        <v>May</v>
      </c>
      <c r="AC12">
        <f>YEAR(C12)</f>
        <v>2025</v>
      </c>
      <c r="AD12" t="str">
        <f>IF(X12&lt;0, "Invalid: Ship Date Before Order Date", IF(W12&lt;0, "Invalid: Negative Discount", IF(W12&gt;0.5, "Invalid: Exceeds Allowed Discount", "OK")))</f>
        <v>OK</v>
      </c>
    </row>
    <row r="13" spans="1:30">
      <c r="A13" t="s">
        <v>126</v>
      </c>
      <c r="B13" t="str">
        <f t="shared" si="0"/>
        <v>Unique</v>
      </c>
      <c r="C13" s="3">
        <v>45495</v>
      </c>
      <c r="D13" s="3">
        <v>45496</v>
      </c>
      <c r="E13" t="s">
        <v>129</v>
      </c>
      <c r="F13" t="s">
        <v>83</v>
      </c>
      <c r="G13" t="s">
        <v>41</v>
      </c>
      <c r="H13" t="s">
        <v>42</v>
      </c>
      <c r="I13" t="s">
        <v>43</v>
      </c>
      <c r="J13" t="s">
        <v>44</v>
      </c>
      <c r="K13" t="s">
        <v>86</v>
      </c>
      <c r="L13" t="s">
        <v>87</v>
      </c>
      <c r="M13" t="s">
        <v>130</v>
      </c>
      <c r="N13" t="s">
        <v>48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34</v>
      </c>
      <c r="V13" t="s">
        <v>35</v>
      </c>
      <c r="W13">
        <f>IF(ISBLANK(Q13), 0, IFERROR(VALUE(Q13), 0.7))</f>
        <v>0.2</v>
      </c>
      <c r="X13">
        <f>D13 - C13</f>
        <v>1</v>
      </c>
      <c r="Y13">
        <f>O13 * P13 * (1 - W13)</f>
        <v>9628.5600000000013</v>
      </c>
      <c r="Z13">
        <f>Y13 - S13</f>
        <v>1589.9700000000012</v>
      </c>
      <c r="AA13">
        <f>IFERROR(Z13 / Y13, 0)</f>
        <v>0.16513061143099289</v>
      </c>
      <c r="AB13" t="str">
        <f>TEXT(C13, "mmmm")</f>
        <v>July</v>
      </c>
      <c r="AC13">
        <f>YEAR(C13)</f>
        <v>2024</v>
      </c>
      <c r="AD13" t="str">
        <f>IF(X13&lt;0, "Invalid: Ship Date Before Order Date", IF(W13&lt;0, "Invalid: Negative Discount", IF(W13&gt;0.5, "Invalid: Exceeds Allowed Discount", "OK")))</f>
        <v>OK</v>
      </c>
    </row>
    <row r="14" spans="1:30">
      <c r="A14" t="s">
        <v>131</v>
      </c>
      <c r="B14" t="str">
        <f t="shared" si="0"/>
        <v>Unique</v>
      </c>
      <c r="C14" s="3">
        <v>45646</v>
      </c>
      <c r="D14" s="3">
        <v>45647</v>
      </c>
      <c r="E14" t="s">
        <v>134</v>
      </c>
      <c r="F14" t="s">
        <v>72</v>
      </c>
      <c r="G14" t="s">
        <v>108</v>
      </c>
      <c r="H14" t="s">
        <v>73</v>
      </c>
      <c r="I14" t="s">
        <v>28</v>
      </c>
      <c r="J14" t="s">
        <v>135</v>
      </c>
      <c r="K14" t="s">
        <v>30</v>
      </c>
      <c r="L14" t="s">
        <v>31</v>
      </c>
      <c r="M14" t="s">
        <v>136</v>
      </c>
      <c r="N14" t="s">
        <v>56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137</v>
      </c>
      <c r="V14" t="s">
        <v>125</v>
      </c>
      <c r="W14">
        <f>IF(ISBLANK(Q14), 0, IFERROR(VALUE(Q14), 0.7))</f>
        <v>0.15</v>
      </c>
      <c r="X14">
        <f>D14 - C14</f>
        <v>1</v>
      </c>
      <c r="Y14">
        <f>O14 * P14 * (1 - W14)</f>
        <v>596.81899999999996</v>
      </c>
      <c r="Z14">
        <f>Y14 - S14</f>
        <v>216.56899999999996</v>
      </c>
      <c r="AA14">
        <f>IFERROR(Z14 / Y14, 0)</f>
        <v>0.36287216057129545</v>
      </c>
      <c r="AB14" t="str">
        <f>TEXT(C14, "mmmm")</f>
        <v>December</v>
      </c>
      <c r="AC14">
        <f>YEAR(C14)</f>
        <v>2024</v>
      </c>
      <c r="AD14" t="str">
        <f>IF(X14&lt;0, "Invalid: Ship Date Before Order Date", IF(W14&lt;0, "Invalid: Negative Discount", IF(W14&gt;0.5, "Invalid: Exceeds Allowed Discount", "OK")))</f>
        <v>OK</v>
      </c>
    </row>
    <row r="15" spans="1:30">
      <c r="A15" t="s">
        <v>138</v>
      </c>
      <c r="B15" t="str">
        <f t="shared" si="0"/>
        <v>Unique</v>
      </c>
      <c r="C15" s="3">
        <v>45942</v>
      </c>
      <c r="D15" s="3">
        <v>45946</v>
      </c>
      <c r="E15" t="s">
        <v>141</v>
      </c>
      <c r="F15" t="s">
        <v>142</v>
      </c>
      <c r="G15" t="s">
        <v>41</v>
      </c>
      <c r="H15" t="s">
        <v>73</v>
      </c>
      <c r="I15" t="s">
        <v>74</v>
      </c>
      <c r="J15" t="s">
        <v>75</v>
      </c>
      <c r="K15" t="s">
        <v>30</v>
      </c>
      <c r="L15" t="s">
        <v>54</v>
      </c>
      <c r="M15" t="s">
        <v>143</v>
      </c>
      <c r="N15" t="s">
        <v>33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34</v>
      </c>
      <c r="V15" t="s">
        <v>35</v>
      </c>
      <c r="W15">
        <f>IF(ISBLANK(Q15), 0, IFERROR(VALUE(Q15), 0.7))</f>
        <v>0.05</v>
      </c>
      <c r="X15">
        <f>D15 - C15</f>
        <v>4</v>
      </c>
      <c r="Y15">
        <f>O15 * P15 * (1 - W15)</f>
        <v>26365.387999999995</v>
      </c>
      <c r="Z15">
        <f>Y15 - S15</f>
        <v>4059.1479999999938</v>
      </c>
      <c r="AA15">
        <f>IFERROR(Z15 / Y15, 0)</f>
        <v>0.15395745361304733</v>
      </c>
      <c r="AB15" t="str">
        <f>TEXT(C15, "mmmm")</f>
        <v>October</v>
      </c>
      <c r="AC15">
        <f>YEAR(C15)</f>
        <v>2025</v>
      </c>
      <c r="AD15" t="str">
        <f>IF(X15&lt;0, "Invalid: Ship Date Before Order Date", IF(W15&lt;0, "Invalid: Negative Discount", IF(W15&gt;0.5, "Invalid: Exceeds Allowed Discount", "OK")))</f>
        <v>OK</v>
      </c>
    </row>
    <row r="16" spans="1:30">
      <c r="A16" t="s">
        <v>144</v>
      </c>
      <c r="B16" t="str">
        <f t="shared" si="0"/>
        <v>Unique</v>
      </c>
      <c r="C16" s="3">
        <v>45653</v>
      </c>
      <c r="D16" s="3">
        <v>45654</v>
      </c>
      <c r="E16" t="s">
        <v>147</v>
      </c>
      <c r="F16" t="s">
        <v>148</v>
      </c>
      <c r="G16" t="s">
        <v>26</v>
      </c>
      <c r="H16" t="s">
        <v>73</v>
      </c>
      <c r="I16" t="s">
        <v>28</v>
      </c>
      <c r="J16" t="s">
        <v>135</v>
      </c>
      <c r="K16" t="s">
        <v>86</v>
      </c>
      <c r="L16" t="s">
        <v>94</v>
      </c>
      <c r="M16" t="s">
        <v>149</v>
      </c>
      <c r="N16" t="s">
        <v>67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34</v>
      </c>
      <c r="V16" t="s">
        <v>35</v>
      </c>
      <c r="W16">
        <f>IF(ISBLANK(Q16), 0, IFERROR(VALUE(Q16), 0.7))</f>
        <v>0.25</v>
      </c>
      <c r="X16">
        <f>D16 - C16</f>
        <v>1</v>
      </c>
      <c r="Y16">
        <f>O16 * P16 * (1 - W16)</f>
        <v>4106.7449999999999</v>
      </c>
      <c r="Z16">
        <f>Y16 - S16</f>
        <v>1440.4449999999997</v>
      </c>
      <c r="AA16">
        <f>IFERROR(Z16 / Y16, 0)</f>
        <v>0.35075102057712365</v>
      </c>
      <c r="AB16" t="str">
        <f>TEXT(C16, "mmmm")</f>
        <v>December</v>
      </c>
      <c r="AC16">
        <f>YEAR(C16)</f>
        <v>2024</v>
      </c>
      <c r="AD16" t="str">
        <f>IF(X16&lt;0, "Invalid: Ship Date Before Order Date", IF(W16&lt;0, "Invalid: Negative Discount", IF(W16&gt;0.5, "Invalid: Exceeds Allowed Discount", "OK")))</f>
        <v>OK</v>
      </c>
    </row>
    <row r="17" spans="1:30">
      <c r="A17" t="s">
        <v>150</v>
      </c>
      <c r="B17" t="str">
        <f t="shared" si="0"/>
        <v>Unique</v>
      </c>
      <c r="C17" s="3">
        <v>45482</v>
      </c>
      <c r="D17" s="3">
        <v>45482</v>
      </c>
      <c r="E17" t="s">
        <v>153</v>
      </c>
      <c r="F17" t="s">
        <v>25</v>
      </c>
      <c r="G17" t="s">
        <v>41</v>
      </c>
      <c r="H17" t="s">
        <v>27</v>
      </c>
      <c r="I17" t="s">
        <v>154</v>
      </c>
      <c r="J17" t="s">
        <v>155</v>
      </c>
      <c r="K17" t="s">
        <v>30</v>
      </c>
      <c r="L17" t="s">
        <v>156</v>
      </c>
      <c r="M17" t="s">
        <v>157</v>
      </c>
      <c r="N17" t="s">
        <v>33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34</v>
      </c>
      <c r="V17" t="s">
        <v>35</v>
      </c>
      <c r="W17">
        <f>IF(ISBLANK(Q17), 0, IFERROR(VALUE(Q17), 0.7))</f>
        <v>0</v>
      </c>
      <c r="X17">
        <f>D17 - C17</f>
        <v>0</v>
      </c>
      <c r="Y17">
        <f>O17 * P17 * (1 - W17)</f>
        <v>23794.560000000001</v>
      </c>
      <c r="Z17">
        <f>Y17 - S17</f>
        <v>8096.090000000002</v>
      </c>
      <c r="AA17">
        <f>IFERROR(Z17 / Y17, 0)</f>
        <v>0.34024962008122872</v>
      </c>
      <c r="AB17" t="str">
        <f>TEXT(C17, "mmmm")</f>
        <v>July</v>
      </c>
      <c r="AC17">
        <f>YEAR(C17)</f>
        <v>2024</v>
      </c>
      <c r="AD17" t="str">
        <f>IF(X17&lt;0, "Invalid: Ship Date Before Order Date", IF(W17&lt;0, "Invalid: Negative Discount", IF(W17&gt;0.5, "Invalid: Exceeds Allowed Discount", "OK")))</f>
        <v>OK</v>
      </c>
    </row>
    <row r="18" spans="1:30">
      <c r="A18" t="s">
        <v>158</v>
      </c>
      <c r="B18" t="str">
        <f t="shared" si="0"/>
        <v>Unique</v>
      </c>
      <c r="C18" s="3">
        <v>45420</v>
      </c>
      <c r="D18" s="3">
        <v>45427</v>
      </c>
      <c r="E18" t="s">
        <v>161</v>
      </c>
      <c r="F18" t="s">
        <v>162</v>
      </c>
      <c r="G18" t="s">
        <v>26</v>
      </c>
      <c r="H18" t="s">
        <v>62</v>
      </c>
      <c r="I18" t="s">
        <v>63</v>
      </c>
      <c r="J18" t="s">
        <v>64</v>
      </c>
      <c r="K18" t="s">
        <v>30</v>
      </c>
      <c r="L18" t="s">
        <v>54</v>
      </c>
      <c r="M18" t="s">
        <v>163</v>
      </c>
      <c r="N18" t="s">
        <v>56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34</v>
      </c>
      <c r="V18" t="s">
        <v>35</v>
      </c>
      <c r="W18">
        <f>IF(ISBLANK(Q18), 0, IFERROR(VALUE(Q18), 0.7))</f>
        <v>0.25</v>
      </c>
      <c r="X18">
        <f>D18 - C18</f>
        <v>7</v>
      </c>
      <c r="Y18">
        <f>O18 * P18 * (1 - W18)</f>
        <v>9970.5300000000007</v>
      </c>
      <c r="Z18">
        <f>Y18 - S18</f>
        <v>4302.3600000000006</v>
      </c>
      <c r="AA18">
        <f>IFERROR(Z18 / Y18, 0)</f>
        <v>0.43150765305354882</v>
      </c>
      <c r="AB18" t="str">
        <f>TEXT(C18, "mmmm")</f>
        <v>May</v>
      </c>
      <c r="AC18">
        <f>YEAR(C18)</f>
        <v>2024</v>
      </c>
      <c r="AD18" t="str">
        <f>IF(X18&lt;0, "Invalid: Ship Date Before Order Date", IF(W18&lt;0, "Invalid: Negative Discount", IF(W18&gt;0.5, "Invalid: Exceeds Allowed Discount", "OK")))</f>
        <v>OK</v>
      </c>
    </row>
    <row r="19" spans="1:30">
      <c r="A19" t="s">
        <v>164</v>
      </c>
      <c r="B19" t="str">
        <f t="shared" si="0"/>
        <v>Unique</v>
      </c>
      <c r="C19" s="3">
        <v>45298</v>
      </c>
      <c r="D19" s="3">
        <v>45299</v>
      </c>
      <c r="E19" t="s">
        <v>167</v>
      </c>
      <c r="F19" t="s">
        <v>168</v>
      </c>
      <c r="G19" t="s">
        <v>41</v>
      </c>
      <c r="H19" t="s">
        <v>27</v>
      </c>
      <c r="I19" t="s">
        <v>28</v>
      </c>
      <c r="J19" t="s">
        <v>29</v>
      </c>
      <c r="K19" t="s">
        <v>45</v>
      </c>
      <c r="L19" t="s">
        <v>65</v>
      </c>
      <c r="M19" t="s">
        <v>169</v>
      </c>
      <c r="N19" t="s">
        <v>48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34</v>
      </c>
      <c r="V19" t="s">
        <v>35</v>
      </c>
      <c r="W19">
        <f>IF(ISBLANK(Q19), 0, IFERROR(VALUE(Q19), 0.7))</f>
        <v>0</v>
      </c>
      <c r="X19">
        <f>D19 - C19</f>
        <v>1</v>
      </c>
      <c r="Y19">
        <f>O19 * P19 * (1 - W19)</f>
        <v>7633.9</v>
      </c>
      <c r="Z19">
        <f>Y19 - S19</f>
        <v>2926.99</v>
      </c>
      <c r="AA19">
        <f>IFERROR(Z19 / Y19, 0)</f>
        <v>0.38342000812166782</v>
      </c>
      <c r="AB19" t="str">
        <f>TEXT(C19, "mmmm")</f>
        <v>January</v>
      </c>
      <c r="AC19">
        <f>YEAR(C19)</f>
        <v>2024</v>
      </c>
      <c r="AD19" t="str">
        <f>IF(X19&lt;0, "Invalid: Ship Date Before Order Date", IF(W19&lt;0, "Invalid: Negative Discount", IF(W19&gt;0.5, "Invalid: Exceeds Allowed Discount", "OK")))</f>
        <v>OK</v>
      </c>
    </row>
    <row r="20" spans="1:30">
      <c r="A20" t="s">
        <v>170</v>
      </c>
      <c r="B20" t="str">
        <f t="shared" si="0"/>
        <v>Unique</v>
      </c>
      <c r="C20" s="3">
        <v>45853</v>
      </c>
      <c r="D20" s="3">
        <v>45855</v>
      </c>
      <c r="E20" t="s">
        <v>173</v>
      </c>
      <c r="F20" t="s">
        <v>162</v>
      </c>
      <c r="G20" t="s">
        <v>115</v>
      </c>
      <c r="H20" t="s">
        <v>27</v>
      </c>
      <c r="I20" t="s">
        <v>174</v>
      </c>
      <c r="J20" t="s">
        <v>175</v>
      </c>
      <c r="K20" t="s">
        <v>86</v>
      </c>
      <c r="L20" t="s">
        <v>94</v>
      </c>
      <c r="M20" t="s">
        <v>176</v>
      </c>
      <c r="N20" t="s">
        <v>56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124</v>
      </c>
      <c r="V20" t="s">
        <v>78</v>
      </c>
      <c r="W20">
        <f>IF(ISBLANK(Q20), 0, IFERROR(VALUE(Q20), 0.7))</f>
        <v>0</v>
      </c>
      <c r="X20">
        <f>D20 - C20</f>
        <v>2</v>
      </c>
      <c r="Y20">
        <f>O20 * P20 * (1 - W20)</f>
        <v>3995.98</v>
      </c>
      <c r="Z20">
        <f>Y20 - S20</f>
        <v>1362.7800000000002</v>
      </c>
      <c r="AA20">
        <f>IFERROR(Z20 / Y20, 0)</f>
        <v>0.34103774293164635</v>
      </c>
      <c r="AB20" t="str">
        <f>TEXT(C20, "mmmm")</f>
        <v>July</v>
      </c>
      <c r="AC20">
        <f>YEAR(C20)</f>
        <v>2025</v>
      </c>
      <c r="AD20" t="str">
        <f>IF(X20&lt;0, "Invalid: Ship Date Before Order Date", IF(W20&lt;0, "Invalid: Negative Discount", IF(W20&gt;0.5, "Invalid: Exceeds Allowed Discount", "OK")))</f>
        <v>OK</v>
      </c>
    </row>
    <row r="21" spans="1:30">
      <c r="A21" t="s">
        <v>177</v>
      </c>
      <c r="B21" t="str">
        <f t="shared" si="0"/>
        <v>Unique</v>
      </c>
      <c r="C21" s="3">
        <v>45500</v>
      </c>
      <c r="D21" s="3">
        <v>45504</v>
      </c>
      <c r="E21" t="s">
        <v>179</v>
      </c>
      <c r="F21" t="s">
        <v>180</v>
      </c>
      <c r="G21" t="s">
        <v>115</v>
      </c>
      <c r="H21" t="s">
        <v>73</v>
      </c>
      <c r="I21" t="s">
        <v>84</v>
      </c>
      <c r="J21" t="s">
        <v>85</v>
      </c>
      <c r="K21" t="s">
        <v>30</v>
      </c>
      <c r="L21" t="s">
        <v>156</v>
      </c>
      <c r="M21" t="s">
        <v>181</v>
      </c>
      <c r="N21" t="s">
        <v>33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34</v>
      </c>
      <c r="V21" t="s">
        <v>35</v>
      </c>
      <c r="W21">
        <f>IF(ISBLANK(Q21), 0, IFERROR(VALUE(Q21), 0.7))</f>
        <v>-0.19</v>
      </c>
      <c r="X21">
        <f>D21 - C21</f>
        <v>4</v>
      </c>
      <c r="Y21">
        <f>O21 * P21 * (1 - W21)</f>
        <v>13879.9458</v>
      </c>
      <c r="Z21">
        <f>Y21 - S21</f>
        <v>6350.6357999999991</v>
      </c>
      <c r="AA21">
        <f>IFERROR(Z21 / Y21, 0)</f>
        <v>0.45754038895454474</v>
      </c>
      <c r="AB21" t="str">
        <f>TEXT(C21, "mmmm")</f>
        <v>July</v>
      </c>
      <c r="AC21">
        <f>YEAR(C21)</f>
        <v>2024</v>
      </c>
      <c r="AD21" t="str">
        <f>IF(X21&lt;0, "Invalid: Ship Date Before Order Date", IF(W21&lt;0, "Invalid: Negative Discount", IF(W21&gt;0.5, "Invalid: Exceeds Allowed Discount", "OK")))</f>
        <v>Invalid: Negative Discount</v>
      </c>
    </row>
    <row r="22" spans="1:30">
      <c r="A22" t="s">
        <v>182</v>
      </c>
      <c r="B22" t="str">
        <f t="shared" si="0"/>
        <v>Unique</v>
      </c>
      <c r="C22" s="3">
        <v>45678</v>
      </c>
      <c r="D22" s="3">
        <v>45680</v>
      </c>
      <c r="E22" t="s">
        <v>185</v>
      </c>
      <c r="F22" t="s">
        <v>107</v>
      </c>
      <c r="G22" t="s">
        <v>115</v>
      </c>
      <c r="H22" t="s">
        <v>42</v>
      </c>
      <c r="I22" t="s">
        <v>186</v>
      </c>
      <c r="J22" t="s">
        <v>187</v>
      </c>
      <c r="K22" t="s">
        <v>86</v>
      </c>
      <c r="L22" t="s">
        <v>94</v>
      </c>
      <c r="M22" t="s">
        <v>188</v>
      </c>
      <c r="N22" t="s">
        <v>56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34</v>
      </c>
      <c r="V22" t="s">
        <v>35</v>
      </c>
      <c r="W22">
        <f>IF(ISBLANK(Q22), 0, IFERROR(VALUE(Q22), 0.7))</f>
        <v>0.25</v>
      </c>
      <c r="X22">
        <f>D22 - C22</f>
        <v>2</v>
      </c>
      <c r="Y22">
        <f>O22 * P22 * (1 - W22)</f>
        <v>16398.975000000002</v>
      </c>
      <c r="Z22">
        <f>Y22 - S22</f>
        <v>6842.4550000000017</v>
      </c>
      <c r="AA22">
        <f>IFERROR(Z22 / Y22, 0)</f>
        <v>0.4172489439126531</v>
      </c>
      <c r="AB22" t="str">
        <f>TEXT(C22, "mmmm")</f>
        <v>January</v>
      </c>
      <c r="AC22">
        <f>YEAR(C22)</f>
        <v>2025</v>
      </c>
      <c r="AD22" t="str">
        <f>IF(X22&lt;0, "Invalid: Ship Date Before Order Date", IF(W22&lt;0, "Invalid: Negative Discount", IF(W22&gt;0.5, "Invalid: Exceeds Allowed Discount", "OK")))</f>
        <v>OK</v>
      </c>
    </row>
    <row r="23" spans="1:30">
      <c r="A23" t="s">
        <v>189</v>
      </c>
      <c r="B23" t="str">
        <f t="shared" si="0"/>
        <v>Unique</v>
      </c>
      <c r="C23" s="3">
        <v>45681</v>
      </c>
      <c r="D23" s="3">
        <v>45687</v>
      </c>
      <c r="E23" t="s">
        <v>192</v>
      </c>
      <c r="F23" t="s">
        <v>168</v>
      </c>
      <c r="G23" t="s">
        <v>26</v>
      </c>
      <c r="H23" t="s">
        <v>73</v>
      </c>
      <c r="I23" t="s">
        <v>84</v>
      </c>
      <c r="J23" t="s">
        <v>85</v>
      </c>
      <c r="K23" t="s">
        <v>45</v>
      </c>
      <c r="L23" t="s">
        <v>65</v>
      </c>
      <c r="M23" t="s">
        <v>193</v>
      </c>
      <c r="N23" t="s">
        <v>33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34</v>
      </c>
      <c r="V23" t="s">
        <v>35</v>
      </c>
      <c r="W23">
        <f>IF(ISBLANK(Q23), 0, IFERROR(VALUE(Q23), 0.7))</f>
        <v>-0.23</v>
      </c>
      <c r="X23">
        <f>D23 - C23</f>
        <v>6</v>
      </c>
      <c r="Y23">
        <f>O23 * P23 * (1 - W23)</f>
        <v>3432.6348000000003</v>
      </c>
      <c r="Z23">
        <f>Y23 - S23</f>
        <v>1394.9248000000002</v>
      </c>
      <c r="AA23">
        <f>IFERROR(Z23 / Y23, 0)</f>
        <v>0.40637145553613807</v>
      </c>
      <c r="AB23" t="str">
        <f>TEXT(C23, "mmmm")</f>
        <v>January</v>
      </c>
      <c r="AC23">
        <f>YEAR(C23)</f>
        <v>2025</v>
      </c>
      <c r="AD23" t="str">
        <f>IF(X23&lt;0, "Invalid: Ship Date Before Order Date", IF(W23&lt;0, "Invalid: Negative Discount", IF(W23&gt;0.5, "Invalid: Exceeds Allowed Discount", "OK")))</f>
        <v>Invalid: Negative Discount</v>
      </c>
    </row>
    <row r="24" spans="1:30">
      <c r="A24" t="s">
        <v>194</v>
      </c>
      <c r="B24" t="str">
        <f t="shared" si="0"/>
        <v>Unique</v>
      </c>
      <c r="C24" s="3">
        <v>45676</v>
      </c>
      <c r="D24" s="3">
        <v>45678</v>
      </c>
      <c r="E24" t="s">
        <v>197</v>
      </c>
      <c r="F24" t="s">
        <v>40</v>
      </c>
      <c r="G24" t="s">
        <v>26</v>
      </c>
      <c r="H24" t="s">
        <v>62</v>
      </c>
      <c r="I24" t="s">
        <v>63</v>
      </c>
      <c r="J24" t="s">
        <v>64</v>
      </c>
      <c r="K24" t="s">
        <v>30</v>
      </c>
      <c r="L24" t="s">
        <v>198</v>
      </c>
      <c r="M24" t="s">
        <v>199</v>
      </c>
      <c r="N24" t="s">
        <v>67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200</v>
      </c>
      <c r="V24" t="s">
        <v>125</v>
      </c>
      <c r="W24">
        <f>IF(ISBLANK(Q24), 0, IFERROR(VALUE(Q24), 0.7))</f>
        <v>0.15</v>
      </c>
      <c r="X24">
        <f>D24 - C24</f>
        <v>2</v>
      </c>
      <c r="Y24">
        <f>O24 * P24 * (1 - W24)</f>
        <v>8291.5119999999988</v>
      </c>
      <c r="Z24">
        <f>Y24 - S24</f>
        <v>1606.4819999999991</v>
      </c>
      <c r="AA24">
        <f>IFERROR(Z24 / Y24, 0)</f>
        <v>0.19375018693816029</v>
      </c>
      <c r="AB24" t="str">
        <f>TEXT(C24, "mmmm")</f>
        <v>January</v>
      </c>
      <c r="AC24">
        <f>YEAR(C24)</f>
        <v>2025</v>
      </c>
      <c r="AD24" t="str">
        <f>IF(X24&lt;0, "Invalid: Ship Date Before Order Date", IF(W24&lt;0, "Invalid: Negative Discount", IF(W24&gt;0.5, "Invalid: Exceeds Allowed Discount", "OK")))</f>
        <v>OK</v>
      </c>
    </row>
    <row r="25" spans="1:30">
      <c r="A25" t="s">
        <v>201</v>
      </c>
      <c r="B25" t="str">
        <f t="shared" si="0"/>
        <v>Unique</v>
      </c>
      <c r="C25" s="3">
        <v>45898</v>
      </c>
      <c r="D25" s="3">
        <v>45900</v>
      </c>
      <c r="E25" t="s">
        <v>203</v>
      </c>
      <c r="F25" t="s">
        <v>148</v>
      </c>
      <c r="G25" t="s">
        <v>115</v>
      </c>
      <c r="H25" t="s">
        <v>42</v>
      </c>
      <c r="I25" t="s">
        <v>186</v>
      </c>
      <c r="J25" t="s">
        <v>187</v>
      </c>
      <c r="K25" t="s">
        <v>45</v>
      </c>
      <c r="L25" t="s">
        <v>204</v>
      </c>
      <c r="M25" t="s">
        <v>205</v>
      </c>
      <c r="N25" t="s">
        <v>56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34</v>
      </c>
      <c r="V25" t="s">
        <v>35</v>
      </c>
      <c r="W25">
        <f>IF(ISBLANK(Q25), 0, IFERROR(VALUE(Q25), 0.7))</f>
        <v>0.2</v>
      </c>
      <c r="X25">
        <f>D25 - C25</f>
        <v>2</v>
      </c>
      <c r="Y25">
        <f>O25 * P25 * (1 - W25)</f>
        <v>6265.6320000000005</v>
      </c>
      <c r="Z25">
        <f>Y25 - S25</f>
        <v>1943.7720000000008</v>
      </c>
      <c r="AA25">
        <f>IFERROR(Z25 / Y25, 0)</f>
        <v>0.31022760353624351</v>
      </c>
      <c r="AB25" t="str">
        <f>TEXT(C25, "mmmm")</f>
        <v>August</v>
      </c>
      <c r="AC25">
        <f>YEAR(C25)</f>
        <v>2025</v>
      </c>
      <c r="AD25" t="str">
        <f>IF(X25&lt;0, "Invalid: Ship Date Before Order Date", IF(W25&lt;0, "Invalid: Negative Discount", IF(W25&gt;0.5, "Invalid: Exceeds Allowed Discount", "OK")))</f>
        <v>OK</v>
      </c>
    </row>
    <row r="26" spans="1:30">
      <c r="A26" t="s">
        <v>206</v>
      </c>
      <c r="B26" t="str">
        <f t="shared" si="0"/>
        <v>Unique</v>
      </c>
      <c r="C26" s="3">
        <v>45355</v>
      </c>
      <c r="D26" s="3">
        <v>45352</v>
      </c>
      <c r="E26" t="s">
        <v>209</v>
      </c>
      <c r="F26" t="s">
        <v>210</v>
      </c>
      <c r="G26" t="s">
        <v>26</v>
      </c>
      <c r="H26" t="s">
        <v>27</v>
      </c>
      <c r="I26" t="s">
        <v>154</v>
      </c>
      <c r="J26" t="s">
        <v>155</v>
      </c>
      <c r="K26" t="s">
        <v>30</v>
      </c>
      <c r="L26" t="s">
        <v>54</v>
      </c>
      <c r="M26" t="s">
        <v>211</v>
      </c>
      <c r="N26" t="s">
        <v>67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137</v>
      </c>
      <c r="V26" t="s">
        <v>78</v>
      </c>
      <c r="W26">
        <f>IF(ISBLANK(Q26), 0, IFERROR(VALUE(Q26), 0.7))</f>
        <v>0.25</v>
      </c>
      <c r="X26">
        <f>D26 - C26</f>
        <v>-3</v>
      </c>
      <c r="Y26">
        <f>O26 * P26 * (1 - W26)</f>
        <v>13478.82</v>
      </c>
      <c r="Z26">
        <f>Y26 - S26</f>
        <v>2541.4699999999993</v>
      </c>
      <c r="AA26">
        <f>IFERROR(Z26 / Y26, 0)</f>
        <v>0.18855285551702591</v>
      </c>
      <c r="AB26" t="str">
        <f>TEXT(C26, "mmmm")</f>
        <v>March</v>
      </c>
      <c r="AC26">
        <f>YEAR(C26)</f>
        <v>2024</v>
      </c>
      <c r="AD26" t="str">
        <f>IF(X26&lt;0, "Invalid: Ship Date Before Order Date", IF(W26&lt;0, "Invalid: Negative Discount", IF(W26&gt;0.5, "Invalid: Exceeds Allowed Discount", "OK")))</f>
        <v>Invalid: Ship Date Before Order Date</v>
      </c>
    </row>
    <row r="27" spans="1:30">
      <c r="A27" t="s">
        <v>212</v>
      </c>
      <c r="B27" t="str">
        <f t="shared" si="0"/>
        <v>Unique</v>
      </c>
      <c r="C27" s="3">
        <v>45606</v>
      </c>
      <c r="D27" s="3">
        <v>45584</v>
      </c>
      <c r="E27" t="s">
        <v>215</v>
      </c>
      <c r="F27" t="s">
        <v>61</v>
      </c>
      <c r="G27" t="s">
        <v>108</v>
      </c>
      <c r="H27" t="s">
        <v>42</v>
      </c>
      <c r="I27" t="s">
        <v>216</v>
      </c>
      <c r="J27" t="s">
        <v>217</v>
      </c>
      <c r="K27" t="s">
        <v>86</v>
      </c>
      <c r="L27" t="s">
        <v>87</v>
      </c>
      <c r="M27" t="s">
        <v>218</v>
      </c>
      <c r="N27" t="s">
        <v>56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34</v>
      </c>
      <c r="V27" t="s">
        <v>35</v>
      </c>
      <c r="W27">
        <f>IF(ISBLANK(Q27), 0, IFERROR(VALUE(Q27), 0.7))</f>
        <v>0.15</v>
      </c>
      <c r="X27">
        <f>D27 - C27</f>
        <v>-22</v>
      </c>
      <c r="Y27">
        <f>O27 * P27 * (1 - W27)</f>
        <v>7335.8399999999992</v>
      </c>
      <c r="Z27">
        <f>Y27 - S27</f>
        <v>2367.4299999999994</v>
      </c>
      <c r="AA27">
        <f>IFERROR(Z27 / Y27, 0)</f>
        <v>0.32272105171323251</v>
      </c>
      <c r="AB27" t="str">
        <f>TEXT(C27, "mmmm")</f>
        <v>November</v>
      </c>
      <c r="AC27">
        <f>YEAR(C27)</f>
        <v>2024</v>
      </c>
      <c r="AD27" t="str">
        <f>IF(X27&lt;0, "Invalid: Ship Date Before Order Date", IF(W27&lt;0, "Invalid: Negative Discount", IF(W27&gt;0.5, "Invalid: Exceeds Allowed Discount", "OK")))</f>
        <v>Invalid: Ship Date Before Order Date</v>
      </c>
    </row>
    <row r="28" spans="1:30">
      <c r="A28" t="s">
        <v>219</v>
      </c>
      <c r="B28" t="str">
        <f t="shared" si="0"/>
        <v>Unique</v>
      </c>
      <c r="C28" s="3">
        <v>45619</v>
      </c>
      <c r="D28" s="3">
        <v>45619</v>
      </c>
      <c r="E28" t="s">
        <v>222</v>
      </c>
      <c r="F28" t="s">
        <v>210</v>
      </c>
      <c r="G28" t="s">
        <v>108</v>
      </c>
      <c r="H28" t="s">
        <v>27</v>
      </c>
      <c r="I28" t="s">
        <v>174</v>
      </c>
      <c r="J28" t="s">
        <v>175</v>
      </c>
      <c r="K28" t="s">
        <v>86</v>
      </c>
      <c r="L28" t="s">
        <v>223</v>
      </c>
      <c r="M28" t="s">
        <v>224</v>
      </c>
      <c r="N28" t="s">
        <v>67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34</v>
      </c>
      <c r="V28" t="s">
        <v>125</v>
      </c>
      <c r="W28">
        <f>IF(ISBLANK(Q28), 0, IFERROR(VALUE(Q28), 0.7))</f>
        <v>0.1</v>
      </c>
      <c r="X28">
        <f>D28 - C28</f>
        <v>0</v>
      </c>
      <c r="Y28">
        <f>O28 * P28 * (1 - W28)</f>
        <v>2578.0680000000002</v>
      </c>
      <c r="Z28">
        <f>Y28 - S28</f>
        <v>1050.5180000000003</v>
      </c>
      <c r="AA28">
        <f>IFERROR(Z28 / Y28, 0)</f>
        <v>0.40748265755596835</v>
      </c>
      <c r="AB28" t="str">
        <f>TEXT(C28, "mmmm")</f>
        <v>November</v>
      </c>
      <c r="AC28">
        <f>YEAR(C28)</f>
        <v>2024</v>
      </c>
      <c r="AD28" t="str">
        <f>IF(X28&lt;0, "Invalid: Ship Date Before Order Date", IF(W28&lt;0, "Invalid: Negative Discount", IF(W28&gt;0.5, "Invalid: Exceeds Allowed Discount", "OK")))</f>
        <v>OK</v>
      </c>
    </row>
    <row r="29" spans="1:30">
      <c r="A29" t="s">
        <v>225</v>
      </c>
      <c r="B29" t="str">
        <f t="shared" si="0"/>
        <v>Unique</v>
      </c>
      <c r="C29" s="3">
        <v>45929</v>
      </c>
      <c r="D29" s="3">
        <v>45787</v>
      </c>
      <c r="E29" t="s">
        <v>228</v>
      </c>
      <c r="F29" t="s">
        <v>61</v>
      </c>
      <c r="G29" t="s">
        <v>41</v>
      </c>
      <c r="H29" t="s">
        <v>62</v>
      </c>
      <c r="I29" t="s">
        <v>229</v>
      </c>
      <c r="J29" t="s">
        <v>230</v>
      </c>
      <c r="K29" t="s">
        <v>30</v>
      </c>
      <c r="L29" t="s">
        <v>31</v>
      </c>
      <c r="M29" t="s">
        <v>231</v>
      </c>
      <c r="N29" t="s">
        <v>33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200</v>
      </c>
      <c r="V29" t="s">
        <v>125</v>
      </c>
      <c r="W29">
        <f>IF(ISBLANK(Q29), 0, IFERROR(VALUE(Q29), 0.7))</f>
        <v>0.25</v>
      </c>
      <c r="X29">
        <f>D29 - C29</f>
        <v>-142</v>
      </c>
      <c r="Y29">
        <f>O29 * P29 * (1 - W29)</f>
        <v>6774.4124999999995</v>
      </c>
      <c r="Z29">
        <f>Y29 - S29</f>
        <v>2064.0524999999998</v>
      </c>
      <c r="AA29">
        <f>IFERROR(Z29 / Y29, 0)</f>
        <v>0.30468361647596748</v>
      </c>
      <c r="AB29" t="str">
        <f>TEXT(C29, "mmmm")</f>
        <v>September</v>
      </c>
      <c r="AC29">
        <f>YEAR(C29)</f>
        <v>2025</v>
      </c>
      <c r="AD29" t="str">
        <f>IF(X29&lt;0, "Invalid: Ship Date Before Order Date", IF(W29&lt;0, "Invalid: Negative Discount", IF(W29&gt;0.5, "Invalid: Exceeds Allowed Discount", "OK")))</f>
        <v>Invalid: Ship Date Before Order Date</v>
      </c>
    </row>
    <row r="30" spans="1:30">
      <c r="A30" t="s">
        <v>232</v>
      </c>
      <c r="B30" t="str">
        <f t="shared" si="0"/>
        <v>Unique</v>
      </c>
      <c r="C30" s="3">
        <v>45606</v>
      </c>
      <c r="D30" s="3">
        <v>45583</v>
      </c>
      <c r="E30" t="s">
        <v>234</v>
      </c>
      <c r="F30" t="s">
        <v>72</v>
      </c>
      <c r="G30" t="s">
        <v>115</v>
      </c>
      <c r="H30" t="s">
        <v>73</v>
      </c>
      <c r="I30" t="s">
        <v>235</v>
      </c>
      <c r="J30" t="s">
        <v>236</v>
      </c>
      <c r="K30" t="s">
        <v>86</v>
      </c>
      <c r="L30" t="s">
        <v>223</v>
      </c>
      <c r="M30" t="s">
        <v>237</v>
      </c>
      <c r="N30" t="s">
        <v>33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124</v>
      </c>
      <c r="V30" t="s">
        <v>78</v>
      </c>
      <c r="W30">
        <f>IF(ISBLANK(Q30), 0, IFERROR(VALUE(Q30), 0.7))</f>
        <v>0.25</v>
      </c>
      <c r="X30">
        <f>D30 - C30</f>
        <v>-23</v>
      </c>
      <c r="Y30">
        <f>O30 * P30 * (1 - W30)</f>
        <v>2913.33</v>
      </c>
      <c r="Z30">
        <f>Y30 - S30</f>
        <v>791</v>
      </c>
      <c r="AA30">
        <f>IFERROR(Z30 / Y30, 0)</f>
        <v>0.27151060813570727</v>
      </c>
      <c r="AB30" t="str">
        <f>TEXT(C30, "mmmm")</f>
        <v>November</v>
      </c>
      <c r="AC30">
        <f>YEAR(C30)</f>
        <v>2024</v>
      </c>
      <c r="AD30" t="str">
        <f>IF(X30&lt;0, "Invalid: Ship Date Before Order Date", IF(W30&lt;0, "Invalid: Negative Discount", IF(W30&gt;0.5, "Invalid: Exceeds Allowed Discount", "OK")))</f>
        <v>Invalid: Ship Date Before Order Date</v>
      </c>
    </row>
    <row r="31" spans="1:30">
      <c r="A31" t="s">
        <v>238</v>
      </c>
      <c r="B31" t="str">
        <f t="shared" si="0"/>
        <v>Unique</v>
      </c>
      <c r="C31" s="3">
        <v>45882</v>
      </c>
      <c r="D31" s="3">
        <v>45882</v>
      </c>
      <c r="E31" t="s">
        <v>241</v>
      </c>
      <c r="F31" t="s">
        <v>180</v>
      </c>
      <c r="G31" t="s">
        <v>115</v>
      </c>
      <c r="H31" t="s">
        <v>62</v>
      </c>
      <c r="I31" t="s">
        <v>242</v>
      </c>
      <c r="J31" t="s">
        <v>243</v>
      </c>
      <c r="K31" t="s">
        <v>86</v>
      </c>
      <c r="L31" t="s">
        <v>223</v>
      </c>
      <c r="M31" t="s">
        <v>244</v>
      </c>
      <c r="N31" t="s">
        <v>67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34</v>
      </c>
      <c r="V31" t="s">
        <v>35</v>
      </c>
      <c r="W31">
        <f>IF(ISBLANK(Q31), 0, IFERROR(VALUE(Q31), 0.7))</f>
        <v>0.15</v>
      </c>
      <c r="X31">
        <f>D31 - C31</f>
        <v>0</v>
      </c>
      <c r="Y31">
        <f>O31 * P31 * (1 - W31)</f>
        <v>217.60849999999999</v>
      </c>
      <c r="Z31">
        <f>Y31 - S31</f>
        <v>97.838499999999996</v>
      </c>
      <c r="AA31">
        <f>IFERROR(Z31 / Y31, 0)</f>
        <v>0.44960789675035673</v>
      </c>
      <c r="AB31" t="str">
        <f>TEXT(C31, "mmmm")</f>
        <v>August</v>
      </c>
      <c r="AC31">
        <f>YEAR(C31)</f>
        <v>2025</v>
      </c>
      <c r="AD31" t="str">
        <f>IF(X31&lt;0, "Invalid: Ship Date Before Order Date", IF(W31&lt;0, "Invalid: Negative Discount", IF(W31&gt;0.5, "Invalid: Exceeds Allowed Discount", "OK")))</f>
        <v>OK</v>
      </c>
    </row>
    <row r="32" spans="1:30">
      <c r="A32" t="s">
        <v>245</v>
      </c>
      <c r="B32" t="str">
        <f t="shared" si="0"/>
        <v>Unique</v>
      </c>
      <c r="C32" s="3">
        <v>45331</v>
      </c>
      <c r="D32" s="3">
        <v>45334</v>
      </c>
      <c r="E32" t="s">
        <v>248</v>
      </c>
      <c r="F32" t="s">
        <v>72</v>
      </c>
      <c r="G32" t="s">
        <v>108</v>
      </c>
      <c r="H32" t="s">
        <v>73</v>
      </c>
      <c r="I32" t="s">
        <v>249</v>
      </c>
      <c r="J32" t="s">
        <v>250</v>
      </c>
      <c r="K32" t="s">
        <v>30</v>
      </c>
      <c r="L32" t="s">
        <v>109</v>
      </c>
      <c r="M32" t="s">
        <v>251</v>
      </c>
      <c r="N32" t="s">
        <v>56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34</v>
      </c>
      <c r="V32" t="s">
        <v>35</v>
      </c>
      <c r="W32">
        <f>IF(ISBLANK(Q32), 0, IFERROR(VALUE(Q32), 0.7))</f>
        <v>0.1</v>
      </c>
      <c r="X32">
        <f>D32 - C32</f>
        <v>3</v>
      </c>
      <c r="Y32">
        <f>O32 * P32 * (1 - W32)</f>
        <v>3079.5929999999998</v>
      </c>
      <c r="Z32">
        <f>Y32 - S32</f>
        <v>1077.7029999999997</v>
      </c>
      <c r="AA32">
        <f>IFERROR(Z32 / Y32, 0)</f>
        <v>0.34994981479695525</v>
      </c>
      <c r="AB32" t="str">
        <f>TEXT(C32, "mmmm")</f>
        <v>February</v>
      </c>
      <c r="AC32">
        <f>YEAR(C32)</f>
        <v>2024</v>
      </c>
      <c r="AD32" t="str">
        <f>IF(X32&lt;0, "Invalid: Ship Date Before Order Date", IF(W32&lt;0, "Invalid: Negative Discount", IF(W32&gt;0.5, "Invalid: Exceeds Allowed Discount", "OK")))</f>
        <v>OK</v>
      </c>
    </row>
    <row r="33" spans="1:30">
      <c r="A33" t="s">
        <v>252</v>
      </c>
      <c r="B33" t="str">
        <f t="shared" si="0"/>
        <v>Unique</v>
      </c>
      <c r="C33" s="3">
        <v>45823</v>
      </c>
      <c r="D33" s="3">
        <v>45827</v>
      </c>
      <c r="E33" t="s">
        <v>255</v>
      </c>
      <c r="F33" t="s">
        <v>25</v>
      </c>
      <c r="G33" t="s">
        <v>41</v>
      </c>
      <c r="H33" t="s">
        <v>73</v>
      </c>
      <c r="I33" t="s">
        <v>84</v>
      </c>
      <c r="J33" t="s">
        <v>85</v>
      </c>
      <c r="K33" t="s">
        <v>30</v>
      </c>
      <c r="L33" t="s">
        <v>31</v>
      </c>
      <c r="M33" t="s">
        <v>256</v>
      </c>
      <c r="N33" t="s">
        <v>33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200</v>
      </c>
      <c r="V33" t="s">
        <v>125</v>
      </c>
      <c r="W33">
        <f>IF(ISBLANK(Q33), 0, IFERROR(VALUE(Q33), 0.7))</f>
        <v>0</v>
      </c>
      <c r="X33">
        <f>D33 - C33</f>
        <v>4</v>
      </c>
      <c r="Y33">
        <f>O33 * P33 * (1 - W33)</f>
        <v>27832.95</v>
      </c>
      <c r="Z33">
        <f>Y33 - S33</f>
        <v>10063.200000000001</v>
      </c>
      <c r="AA33">
        <f>IFERROR(Z33 / Y33, 0)</f>
        <v>0.36155707533696574</v>
      </c>
      <c r="AB33" t="str">
        <f>TEXT(C33, "mmmm")</f>
        <v>June</v>
      </c>
      <c r="AC33">
        <f>YEAR(C33)</f>
        <v>2025</v>
      </c>
      <c r="AD33" t="str">
        <f>IF(X33&lt;0, "Invalid: Ship Date Before Order Date", IF(W33&lt;0, "Invalid: Negative Discount", IF(W33&gt;0.5, "Invalid: Exceeds Allowed Discount", "OK")))</f>
        <v>OK</v>
      </c>
    </row>
    <row r="34" spans="1:30">
      <c r="A34" t="s">
        <v>257</v>
      </c>
      <c r="B34" t="str">
        <f t="shared" si="0"/>
        <v>Unique</v>
      </c>
      <c r="C34" s="3">
        <v>45618</v>
      </c>
      <c r="D34" s="3">
        <v>45622</v>
      </c>
      <c r="E34" t="s">
        <v>260</v>
      </c>
      <c r="F34" t="s">
        <v>162</v>
      </c>
      <c r="G34" t="s">
        <v>108</v>
      </c>
      <c r="H34" t="s">
        <v>62</v>
      </c>
      <c r="I34" t="s">
        <v>100</v>
      </c>
      <c r="J34" t="s">
        <v>101</v>
      </c>
      <c r="K34" t="s">
        <v>86</v>
      </c>
      <c r="L34" t="s">
        <v>223</v>
      </c>
      <c r="M34" t="s">
        <v>261</v>
      </c>
      <c r="N34" t="s">
        <v>33</v>
      </c>
      <c r="O34">
        <v>3</v>
      </c>
      <c r="P34">
        <v>4001.25</v>
      </c>
      <c r="R34">
        <v>9002.81</v>
      </c>
      <c r="S34">
        <v>7529.92</v>
      </c>
      <c r="T34">
        <v>1472.89</v>
      </c>
      <c r="U34" t="s">
        <v>34</v>
      </c>
      <c r="V34" t="s">
        <v>35</v>
      </c>
      <c r="W34">
        <f>IF(ISBLANK(Q34), 0, IFERROR(VALUE(Q34), 0.7))</f>
        <v>0</v>
      </c>
      <c r="X34">
        <f>D34 - C34</f>
        <v>4</v>
      </c>
      <c r="Y34">
        <f>O34 * P34 * (1 - W34)</f>
        <v>12003.75</v>
      </c>
      <c r="Z34">
        <f>Y34 - S34</f>
        <v>4473.83</v>
      </c>
      <c r="AA34">
        <f>IFERROR(Z34 / Y34, 0)</f>
        <v>0.37270269707383108</v>
      </c>
      <c r="AB34" t="str">
        <f>TEXT(C34, "mmmm")</f>
        <v>November</v>
      </c>
      <c r="AC34">
        <f>YEAR(C34)</f>
        <v>2024</v>
      </c>
      <c r="AD34" t="str">
        <f>IF(X34&lt;0, "Invalid: Ship Date Before Order Date", IF(W34&lt;0, "Invalid: Negative Discount", IF(W34&gt;0.5, "Invalid: Exceeds Allowed Discount", "OK")))</f>
        <v>OK</v>
      </c>
    </row>
    <row r="35" spans="1:30">
      <c r="A35" t="s">
        <v>262</v>
      </c>
      <c r="B35" t="str">
        <f t="shared" si="0"/>
        <v>Unique</v>
      </c>
      <c r="C35" s="3">
        <v>45495</v>
      </c>
      <c r="D35" s="3">
        <v>45500</v>
      </c>
      <c r="E35" t="s">
        <v>265</v>
      </c>
      <c r="F35" t="s">
        <v>142</v>
      </c>
      <c r="G35" t="s">
        <v>115</v>
      </c>
      <c r="H35" t="s">
        <v>73</v>
      </c>
      <c r="I35" t="s">
        <v>249</v>
      </c>
      <c r="J35" t="s">
        <v>250</v>
      </c>
      <c r="K35" t="s">
        <v>45</v>
      </c>
      <c r="L35" t="s">
        <v>46</v>
      </c>
      <c r="M35" t="s">
        <v>266</v>
      </c>
      <c r="N35" t="s">
        <v>48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34</v>
      </c>
      <c r="V35" t="s">
        <v>35</v>
      </c>
      <c r="W35">
        <f>IF(ISBLANK(Q35), 0, IFERROR(VALUE(Q35), 0.7))</f>
        <v>0.25</v>
      </c>
      <c r="X35">
        <f>D35 - C35</f>
        <v>5</v>
      </c>
      <c r="Y35">
        <f>O35 * P35 * (1 - W35)</f>
        <v>2585.1525000000001</v>
      </c>
      <c r="Z35">
        <f>Y35 - S35</f>
        <v>514.42250000000013</v>
      </c>
      <c r="AA35">
        <f>IFERROR(Z35 / Y35, 0)</f>
        <v>0.19899116203009304</v>
      </c>
      <c r="AB35" t="str">
        <f>TEXT(C35, "mmmm")</f>
        <v>July</v>
      </c>
      <c r="AC35">
        <f>YEAR(C35)</f>
        <v>2024</v>
      </c>
      <c r="AD35" t="str">
        <f>IF(X35&lt;0, "Invalid: Ship Date Before Order Date", IF(W35&lt;0, "Invalid: Negative Discount", IF(W35&gt;0.5, "Invalid: Exceeds Allowed Discount", "OK")))</f>
        <v>OK</v>
      </c>
    </row>
    <row r="36" spans="1:30">
      <c r="A36" t="s">
        <v>267</v>
      </c>
      <c r="B36" t="str">
        <f t="shared" si="0"/>
        <v>Unique</v>
      </c>
      <c r="C36" s="3">
        <v>45688</v>
      </c>
      <c r="D36" s="3">
        <v>45693</v>
      </c>
      <c r="E36" t="s">
        <v>270</v>
      </c>
      <c r="F36" t="s">
        <v>142</v>
      </c>
      <c r="G36" t="s">
        <v>115</v>
      </c>
      <c r="H36" t="s">
        <v>42</v>
      </c>
      <c r="I36" t="s">
        <v>121</v>
      </c>
      <c r="J36" t="s">
        <v>122</v>
      </c>
      <c r="K36" t="s">
        <v>45</v>
      </c>
      <c r="L36" t="s">
        <v>76</v>
      </c>
      <c r="M36" t="s">
        <v>271</v>
      </c>
      <c r="N36" t="s">
        <v>4110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34</v>
      </c>
      <c r="V36" t="s">
        <v>35</v>
      </c>
      <c r="W36">
        <f>IF(ISBLANK(Q36), 0, IFERROR(VALUE(Q36), 0.7))</f>
        <v>0.2</v>
      </c>
      <c r="X36">
        <f>D36 - C36</f>
        <v>5</v>
      </c>
      <c r="Y36">
        <f>O36 * P36 * (1 - W36)</f>
        <v>6655.5039999999999</v>
      </c>
      <c r="Z36">
        <f>Y36 - S36</f>
        <v>2315.2939999999999</v>
      </c>
      <c r="AA36">
        <f>IFERROR(Z36 / Y36, 0)</f>
        <v>0.34787658455317583</v>
      </c>
      <c r="AB36" t="str">
        <f>TEXT(C36, "mmmm")</f>
        <v>January</v>
      </c>
      <c r="AC36">
        <f>YEAR(C36)</f>
        <v>2025</v>
      </c>
      <c r="AD36" t="str">
        <f>IF(X36&lt;0, "Invalid: Ship Date Before Order Date", IF(W36&lt;0, "Invalid: Negative Discount", IF(W36&gt;0.5, "Invalid: Exceeds Allowed Discount", "OK")))</f>
        <v>OK</v>
      </c>
    </row>
    <row r="37" spans="1:30">
      <c r="A37" t="s">
        <v>272</v>
      </c>
      <c r="B37" t="str">
        <f t="shared" si="0"/>
        <v>Unique</v>
      </c>
      <c r="C37" s="3">
        <v>45441</v>
      </c>
      <c r="D37" s="3">
        <v>45441</v>
      </c>
      <c r="E37" t="s">
        <v>275</v>
      </c>
      <c r="F37" t="s">
        <v>168</v>
      </c>
      <c r="G37" t="s">
        <v>41</v>
      </c>
      <c r="H37" t="s">
        <v>73</v>
      </c>
      <c r="I37" t="s">
        <v>235</v>
      </c>
      <c r="J37" t="s">
        <v>236</v>
      </c>
      <c r="K37" t="s">
        <v>45</v>
      </c>
      <c r="L37" t="s">
        <v>204</v>
      </c>
      <c r="M37" t="s">
        <v>276</v>
      </c>
      <c r="N37" t="s">
        <v>33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137</v>
      </c>
      <c r="V37" t="s">
        <v>125</v>
      </c>
      <c r="W37">
        <f>IF(ISBLANK(Q37), 0, IFERROR(VALUE(Q37), 0.7))</f>
        <v>0.05</v>
      </c>
      <c r="X37">
        <f>D37 - C37</f>
        <v>0</v>
      </c>
      <c r="Y37">
        <f>O37 * P37 * (1 - W37)</f>
        <v>19054.111999999997</v>
      </c>
      <c r="Z37">
        <f>Y37 - S37</f>
        <v>3740.2819999999974</v>
      </c>
      <c r="AA37">
        <f>IFERROR(Z37 / Y37, 0)</f>
        <v>0.19629789097492437</v>
      </c>
      <c r="AB37" t="str">
        <f>TEXT(C37, "mmmm")</f>
        <v>May</v>
      </c>
      <c r="AC37">
        <f>YEAR(C37)</f>
        <v>2024</v>
      </c>
      <c r="AD37" t="str">
        <f>IF(X37&lt;0, "Invalid: Ship Date Before Order Date", IF(W37&lt;0, "Invalid: Negative Discount", IF(W37&gt;0.5, "Invalid: Exceeds Allowed Discount", "OK")))</f>
        <v>OK</v>
      </c>
    </row>
    <row r="38" spans="1:30">
      <c r="A38" t="s">
        <v>277</v>
      </c>
      <c r="B38" t="str">
        <f t="shared" si="0"/>
        <v>Unique</v>
      </c>
      <c r="C38" s="3">
        <v>45590</v>
      </c>
      <c r="D38" s="3">
        <v>45593</v>
      </c>
      <c r="E38" t="s">
        <v>280</v>
      </c>
      <c r="F38" t="s">
        <v>180</v>
      </c>
      <c r="G38" t="s">
        <v>108</v>
      </c>
      <c r="H38" t="s">
        <v>73</v>
      </c>
      <c r="I38" t="s">
        <v>74</v>
      </c>
      <c r="J38" t="s">
        <v>75</v>
      </c>
      <c r="K38" t="s">
        <v>45</v>
      </c>
      <c r="L38" t="s">
        <v>204</v>
      </c>
      <c r="M38" t="s">
        <v>281</v>
      </c>
      <c r="N38" t="s">
        <v>33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34</v>
      </c>
      <c r="V38" t="s">
        <v>125</v>
      </c>
      <c r="W38">
        <f>IF(ISBLANK(Q38), 0, IFERROR(VALUE(Q38), 0.7))</f>
        <v>0</v>
      </c>
      <c r="X38">
        <f>D38 - C38</f>
        <v>3</v>
      </c>
      <c r="Y38">
        <f>O38 * P38 * (1 - W38)</f>
        <v>9379.41</v>
      </c>
      <c r="Z38">
        <f>Y38 - S38</f>
        <v>2708.5599999999995</v>
      </c>
      <c r="AA38">
        <f>IFERROR(Z38 / Y38, 0)</f>
        <v>0.28877722585962223</v>
      </c>
      <c r="AB38" t="str">
        <f>TEXT(C38, "mmmm")</f>
        <v>October</v>
      </c>
      <c r="AC38">
        <f>YEAR(C38)</f>
        <v>2024</v>
      </c>
      <c r="AD38" t="str">
        <f>IF(X38&lt;0, "Invalid: Ship Date Before Order Date", IF(W38&lt;0, "Invalid: Negative Discount", IF(W38&gt;0.5, "Invalid: Exceeds Allowed Discount", "OK")))</f>
        <v>OK</v>
      </c>
    </row>
    <row r="39" spans="1:30">
      <c r="A39" t="s">
        <v>282</v>
      </c>
      <c r="B39" t="str">
        <f t="shared" si="0"/>
        <v>Unique</v>
      </c>
      <c r="C39" s="3">
        <v>45867</v>
      </c>
      <c r="D39" s="3">
        <v>45867</v>
      </c>
      <c r="E39" t="s">
        <v>284</v>
      </c>
      <c r="F39" t="s">
        <v>210</v>
      </c>
      <c r="G39" t="s">
        <v>26</v>
      </c>
      <c r="H39" t="s">
        <v>73</v>
      </c>
      <c r="I39" t="s">
        <v>74</v>
      </c>
      <c r="J39" t="s">
        <v>75</v>
      </c>
      <c r="K39" t="s">
        <v>86</v>
      </c>
      <c r="L39" t="s">
        <v>94</v>
      </c>
      <c r="M39" t="s">
        <v>285</v>
      </c>
      <c r="N39" t="s">
        <v>67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34</v>
      </c>
      <c r="V39" t="s">
        <v>35</v>
      </c>
      <c r="W39">
        <f>IF(ISBLANK(Q39), 0, IFERROR(VALUE(Q39), 0.7))</f>
        <v>0.2</v>
      </c>
      <c r="X39">
        <f>D39 - C39</f>
        <v>0</v>
      </c>
      <c r="Y39">
        <f>O39 * P39 * (1 - W39)</f>
        <v>4248.1279999999997</v>
      </c>
      <c r="Z39">
        <f>Y39 - S39</f>
        <v>927.03799999999956</v>
      </c>
      <c r="AA39">
        <f>IFERROR(Z39 / Y39, 0)</f>
        <v>0.21822270892025844</v>
      </c>
      <c r="AB39" t="str">
        <f>TEXT(C39, "mmmm")</f>
        <v>July</v>
      </c>
      <c r="AC39">
        <f>YEAR(C39)</f>
        <v>2025</v>
      </c>
      <c r="AD39" t="str">
        <f>IF(X39&lt;0, "Invalid: Ship Date Before Order Date", IF(W39&lt;0, "Invalid: Negative Discount", IF(W39&gt;0.5, "Invalid: Exceeds Allowed Discount", "OK")))</f>
        <v>OK</v>
      </c>
    </row>
    <row r="40" spans="1:30">
      <c r="A40" t="s">
        <v>287</v>
      </c>
      <c r="B40" t="str">
        <f t="shared" si="0"/>
        <v>Unique</v>
      </c>
      <c r="C40" s="3">
        <v>45460</v>
      </c>
      <c r="D40" s="3">
        <v>45465</v>
      </c>
      <c r="E40" t="s">
        <v>290</v>
      </c>
      <c r="F40" t="s">
        <v>162</v>
      </c>
      <c r="G40" t="s">
        <v>108</v>
      </c>
      <c r="H40" t="s">
        <v>73</v>
      </c>
      <c r="I40" t="s">
        <v>235</v>
      </c>
      <c r="J40" t="s">
        <v>236</v>
      </c>
      <c r="K40" t="s">
        <v>86</v>
      </c>
      <c r="L40" t="s">
        <v>223</v>
      </c>
      <c r="M40" t="s">
        <v>291</v>
      </c>
      <c r="N40" t="s">
        <v>56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34</v>
      </c>
      <c r="V40" t="s">
        <v>35</v>
      </c>
      <c r="W40">
        <f>IF(ISBLANK(Q40), 0, IFERROR(VALUE(Q40), 0.7))</f>
        <v>0.1</v>
      </c>
      <c r="X40">
        <f>D40 - C40</f>
        <v>5</v>
      </c>
      <c r="Y40">
        <f>O40 * P40 * (1 - W40)</f>
        <v>13927.284</v>
      </c>
      <c r="Z40">
        <f>Y40 - S40</f>
        <v>3422.4139999999989</v>
      </c>
      <c r="AA40">
        <f>IFERROR(Z40 / Y40, 0)</f>
        <v>0.24573448778670692</v>
      </c>
      <c r="AB40" t="str">
        <f>TEXT(C40, "mmmm")</f>
        <v>June</v>
      </c>
      <c r="AC40">
        <f>YEAR(C40)</f>
        <v>2024</v>
      </c>
      <c r="AD40" t="str">
        <f>IF(X40&lt;0, "Invalid: Ship Date Before Order Date", IF(W40&lt;0, "Invalid: Negative Discount", IF(W40&gt;0.5, "Invalid: Exceeds Allowed Discount", "OK")))</f>
        <v>OK</v>
      </c>
    </row>
    <row r="41" spans="1:30">
      <c r="A41" t="s">
        <v>292</v>
      </c>
      <c r="B41" t="str">
        <f t="shared" si="0"/>
        <v>Unique</v>
      </c>
      <c r="C41" s="3">
        <v>45637</v>
      </c>
      <c r="D41" s="3">
        <v>45637</v>
      </c>
      <c r="E41" t="s">
        <v>295</v>
      </c>
      <c r="F41" t="s">
        <v>40</v>
      </c>
      <c r="G41" t="s">
        <v>41</v>
      </c>
      <c r="H41" t="s">
        <v>73</v>
      </c>
      <c r="I41" t="s">
        <v>84</v>
      </c>
      <c r="J41" t="s">
        <v>85</v>
      </c>
      <c r="K41" t="s">
        <v>86</v>
      </c>
      <c r="L41" t="s">
        <v>94</v>
      </c>
      <c r="M41" t="s">
        <v>296</v>
      </c>
      <c r="N41" t="s">
        <v>56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137</v>
      </c>
      <c r="V41" t="s">
        <v>125</v>
      </c>
      <c r="W41">
        <f>IF(ISBLANK(Q41), 0, IFERROR(VALUE(Q41), 0.7))</f>
        <v>0.1</v>
      </c>
      <c r="X41">
        <f>D41 - C41</f>
        <v>0</v>
      </c>
      <c r="Y41">
        <f>O41 * P41 * (1 - W41)</f>
        <v>4935.3120000000008</v>
      </c>
      <c r="Z41">
        <f>Y41 - S41</f>
        <v>1560.5420000000008</v>
      </c>
      <c r="AA41">
        <f>IFERROR(Z41 / Y41, 0)</f>
        <v>0.31619925954022776</v>
      </c>
      <c r="AB41" t="str">
        <f>TEXT(C41, "mmmm")</f>
        <v>December</v>
      </c>
      <c r="AC41">
        <f>YEAR(C41)</f>
        <v>2024</v>
      </c>
      <c r="AD41" t="str">
        <f>IF(X41&lt;0, "Invalid: Ship Date Before Order Date", IF(W41&lt;0, "Invalid: Negative Discount", IF(W41&gt;0.5, "Invalid: Exceeds Allowed Discount", "OK")))</f>
        <v>OK</v>
      </c>
    </row>
    <row r="42" spans="1:30">
      <c r="A42" t="s">
        <v>297</v>
      </c>
      <c r="B42" t="str">
        <f t="shared" si="0"/>
        <v>Unique</v>
      </c>
      <c r="C42" s="3">
        <v>45575</v>
      </c>
      <c r="D42" s="3">
        <v>45581</v>
      </c>
      <c r="E42" t="s">
        <v>300</v>
      </c>
      <c r="F42" t="s">
        <v>53</v>
      </c>
      <c r="G42" t="s">
        <v>115</v>
      </c>
      <c r="H42" t="s">
        <v>73</v>
      </c>
      <c r="I42" t="s">
        <v>28</v>
      </c>
      <c r="J42" t="s">
        <v>135</v>
      </c>
      <c r="K42" t="s">
        <v>86</v>
      </c>
      <c r="L42" t="s">
        <v>94</v>
      </c>
      <c r="M42" t="s">
        <v>301</v>
      </c>
      <c r="N42" t="s">
        <v>67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34</v>
      </c>
      <c r="V42" t="s">
        <v>35</v>
      </c>
      <c r="W42">
        <f>IF(ISBLANK(Q42), 0, IFERROR(VALUE(Q42), 0.7))</f>
        <v>0.2</v>
      </c>
      <c r="X42">
        <f>D42 - C42</f>
        <v>6</v>
      </c>
      <c r="Y42">
        <f>O42 * P42 * (1 - W42)</f>
        <v>14051.912</v>
      </c>
      <c r="Z42">
        <f>Y42 - S42</f>
        <v>2061.5419999999995</v>
      </c>
      <c r="AA42">
        <f>IFERROR(Z42 / Y42, 0)</f>
        <v>0.14670900301681361</v>
      </c>
      <c r="AB42" t="str">
        <f>TEXT(C42, "mmmm")</f>
        <v>October</v>
      </c>
      <c r="AC42">
        <f>YEAR(C42)</f>
        <v>2024</v>
      </c>
      <c r="AD42" t="str">
        <f>IF(X42&lt;0, "Invalid: Ship Date Before Order Date", IF(W42&lt;0, "Invalid: Negative Discount", IF(W42&gt;0.5, "Invalid: Exceeds Allowed Discount", "OK")))</f>
        <v>OK</v>
      </c>
    </row>
    <row r="43" spans="1:30">
      <c r="A43" t="s">
        <v>302</v>
      </c>
      <c r="B43" t="str">
        <f t="shared" si="0"/>
        <v>Unique</v>
      </c>
      <c r="C43" s="3">
        <v>45363</v>
      </c>
      <c r="D43" s="3">
        <v>45368</v>
      </c>
      <c r="E43" t="s">
        <v>305</v>
      </c>
      <c r="F43" t="s">
        <v>162</v>
      </c>
      <c r="G43" t="s">
        <v>41</v>
      </c>
      <c r="H43" t="s">
        <v>42</v>
      </c>
      <c r="I43" t="s">
        <v>43</v>
      </c>
      <c r="J43" t="s">
        <v>44</v>
      </c>
      <c r="K43" t="s">
        <v>45</v>
      </c>
      <c r="L43" t="s">
        <v>204</v>
      </c>
      <c r="M43" t="s">
        <v>306</v>
      </c>
      <c r="N43" t="s">
        <v>48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137</v>
      </c>
      <c r="V43" t="s">
        <v>78</v>
      </c>
      <c r="W43">
        <f>IF(ISBLANK(Q43), 0, IFERROR(VALUE(Q43), 0.7))</f>
        <v>0</v>
      </c>
      <c r="X43">
        <f>D43 - C43</f>
        <v>5</v>
      </c>
      <c r="Y43">
        <f>O43 * P43 * (1 - W43)</f>
        <v>6846.48</v>
      </c>
      <c r="Z43">
        <f>Y43 - S43</f>
        <v>2606.5899999999992</v>
      </c>
      <c r="AA43">
        <f>IFERROR(Z43 / Y43, 0)</f>
        <v>0.38071972750961069</v>
      </c>
      <c r="AB43" t="str">
        <f>TEXT(C43, "mmmm")</f>
        <v>March</v>
      </c>
      <c r="AC43">
        <f>YEAR(C43)</f>
        <v>2024</v>
      </c>
      <c r="AD43" t="str">
        <f>IF(X43&lt;0, "Invalid: Ship Date Before Order Date", IF(W43&lt;0, "Invalid: Negative Discount", IF(W43&gt;0.5, "Invalid: Exceeds Allowed Discount", "OK")))</f>
        <v>OK</v>
      </c>
    </row>
    <row r="44" spans="1:30">
      <c r="A44" t="s">
        <v>307</v>
      </c>
      <c r="B44" t="str">
        <f t="shared" si="0"/>
        <v>Unique</v>
      </c>
      <c r="C44" s="3">
        <v>45940</v>
      </c>
      <c r="D44" s="3">
        <v>45945</v>
      </c>
      <c r="E44" t="s">
        <v>310</v>
      </c>
      <c r="F44" t="s">
        <v>61</v>
      </c>
      <c r="G44" t="s">
        <v>108</v>
      </c>
      <c r="H44" t="s">
        <v>42</v>
      </c>
      <c r="I44" t="s">
        <v>311</v>
      </c>
      <c r="J44" t="s">
        <v>312</v>
      </c>
      <c r="K44" t="s">
        <v>86</v>
      </c>
      <c r="L44" t="s">
        <v>223</v>
      </c>
      <c r="M44" t="s">
        <v>313</v>
      </c>
      <c r="N44" t="s">
        <v>67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34</v>
      </c>
      <c r="V44" t="s">
        <v>35</v>
      </c>
      <c r="W44">
        <f>IF(ISBLANK(Q44), 0, IFERROR(VALUE(Q44), 0.7))</f>
        <v>0.05</v>
      </c>
      <c r="X44">
        <f>D44 - C44</f>
        <v>5</v>
      </c>
      <c r="Y44">
        <f>O44 * P44 * (1 - W44)</f>
        <v>7447.0119999999997</v>
      </c>
      <c r="Z44">
        <f>Y44 - S44</f>
        <v>2950.7919999999995</v>
      </c>
      <c r="AA44">
        <f>IFERROR(Z44 / Y44, 0)</f>
        <v>0.39623838393170302</v>
      </c>
      <c r="AB44" t="str">
        <f>TEXT(C44, "mmmm")</f>
        <v>October</v>
      </c>
      <c r="AC44">
        <f>YEAR(C44)</f>
        <v>2025</v>
      </c>
      <c r="AD44" t="str">
        <f>IF(X44&lt;0, "Invalid: Ship Date Before Order Date", IF(W44&lt;0, "Invalid: Negative Discount", IF(W44&gt;0.5, "Invalid: Exceeds Allowed Discount", "OK")))</f>
        <v>OK</v>
      </c>
    </row>
    <row r="45" spans="1:30">
      <c r="A45" t="s">
        <v>314</v>
      </c>
      <c r="B45" t="str">
        <f t="shared" si="0"/>
        <v>Unique</v>
      </c>
      <c r="C45" s="3">
        <v>45481</v>
      </c>
      <c r="D45" s="3">
        <v>45487</v>
      </c>
      <c r="E45" t="s">
        <v>317</v>
      </c>
      <c r="F45" t="s">
        <v>142</v>
      </c>
      <c r="G45" t="s">
        <v>41</v>
      </c>
      <c r="H45" t="s">
        <v>42</v>
      </c>
      <c r="I45" t="s">
        <v>43</v>
      </c>
      <c r="J45" t="s">
        <v>44</v>
      </c>
      <c r="K45" t="s">
        <v>45</v>
      </c>
      <c r="L45" t="s">
        <v>65</v>
      </c>
      <c r="M45" t="s">
        <v>318</v>
      </c>
      <c r="N45" t="s">
        <v>48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34</v>
      </c>
      <c r="V45" t="s">
        <v>35</v>
      </c>
      <c r="W45">
        <f>IF(ISBLANK(Q45), 0, IFERROR(VALUE(Q45), 0.7))</f>
        <v>0</v>
      </c>
      <c r="X45">
        <f>D45 - C45</f>
        <v>6</v>
      </c>
      <c r="Y45">
        <f>O45 * P45 * (1 - W45)</f>
        <v>3030.69</v>
      </c>
      <c r="Z45">
        <f>Y45 - S45</f>
        <v>1309.6100000000001</v>
      </c>
      <c r="AA45">
        <f>IFERROR(Z45 / Y45, 0)</f>
        <v>0.43211611877163292</v>
      </c>
      <c r="AB45" t="str">
        <f>TEXT(C45, "mmmm")</f>
        <v>July</v>
      </c>
      <c r="AC45">
        <f>YEAR(C45)</f>
        <v>2024</v>
      </c>
      <c r="AD45" t="str">
        <f>IF(X45&lt;0, "Invalid: Ship Date Before Order Date", IF(W45&lt;0, "Invalid: Negative Discount", IF(W45&gt;0.5, "Invalid: Exceeds Allowed Discount", "OK")))</f>
        <v>OK</v>
      </c>
    </row>
    <row r="46" spans="1:30">
      <c r="A46" t="s">
        <v>319</v>
      </c>
      <c r="B46" t="str">
        <f t="shared" si="0"/>
        <v>Unique</v>
      </c>
      <c r="C46" s="3">
        <v>45465</v>
      </c>
      <c r="D46" s="3">
        <v>45468</v>
      </c>
      <c r="E46" t="s">
        <v>322</v>
      </c>
      <c r="F46" t="s">
        <v>180</v>
      </c>
      <c r="G46" t="s">
        <v>41</v>
      </c>
      <c r="H46" t="s">
        <v>27</v>
      </c>
      <c r="I46" t="s">
        <v>323</v>
      </c>
      <c r="J46" t="s">
        <v>324</v>
      </c>
      <c r="K46" t="s">
        <v>45</v>
      </c>
      <c r="L46" t="s">
        <v>76</v>
      </c>
      <c r="M46" t="s">
        <v>325</v>
      </c>
      <c r="N46" t="s">
        <v>67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34</v>
      </c>
      <c r="V46" t="s">
        <v>35</v>
      </c>
      <c r="W46">
        <f>IF(ISBLANK(Q46), 0, IFERROR(VALUE(Q46), 0.7))</f>
        <v>0.1</v>
      </c>
      <c r="X46">
        <f>D46 - C46</f>
        <v>3</v>
      </c>
      <c r="Y46">
        <f>O46 * P46 * (1 - W46)</f>
        <v>26971.137000000002</v>
      </c>
      <c r="Z46">
        <f>Y46 - S46</f>
        <v>9594.9370000000017</v>
      </c>
      <c r="AA46">
        <f>IFERROR(Z46 / Y46, 0)</f>
        <v>0.35574833200394929</v>
      </c>
      <c r="AB46" t="str">
        <f>TEXT(C46, "mmmm")</f>
        <v>June</v>
      </c>
      <c r="AC46">
        <f>YEAR(C46)</f>
        <v>2024</v>
      </c>
      <c r="AD46" t="str">
        <f>IF(X46&lt;0, "Invalid: Ship Date Before Order Date", IF(W46&lt;0, "Invalid: Negative Discount", IF(W46&gt;0.5, "Invalid: Exceeds Allowed Discount", "OK")))</f>
        <v>OK</v>
      </c>
    </row>
    <row r="47" spans="1:30">
      <c r="A47" t="s">
        <v>326</v>
      </c>
      <c r="B47" t="str">
        <f t="shared" si="0"/>
        <v>Unique</v>
      </c>
      <c r="C47" s="3">
        <v>45309</v>
      </c>
      <c r="D47" s="3">
        <v>45315</v>
      </c>
      <c r="E47" t="s">
        <v>329</v>
      </c>
      <c r="F47" t="s">
        <v>53</v>
      </c>
      <c r="G47" t="s">
        <v>115</v>
      </c>
      <c r="H47" t="s">
        <v>42</v>
      </c>
      <c r="I47" t="s">
        <v>186</v>
      </c>
      <c r="J47" t="s">
        <v>187</v>
      </c>
      <c r="K47" t="s">
        <v>30</v>
      </c>
      <c r="L47" t="s">
        <v>54</v>
      </c>
      <c r="M47" t="s">
        <v>330</v>
      </c>
      <c r="N47" t="s">
        <v>33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137</v>
      </c>
      <c r="V47" t="s">
        <v>125</v>
      </c>
      <c r="W47">
        <f>IF(ISBLANK(Q47), 0, IFERROR(VALUE(Q47), 0.7))</f>
        <v>0.05</v>
      </c>
      <c r="X47">
        <f>D47 - C47</f>
        <v>6</v>
      </c>
      <c r="Y47">
        <f>O47 * P47 * (1 - W47)</f>
        <v>29851.432000000001</v>
      </c>
      <c r="Z47">
        <f>Y47 - S47</f>
        <v>12363.952000000001</v>
      </c>
      <c r="AA47">
        <f>IFERROR(Z47 / Y47, 0)</f>
        <v>0.41418287739094062</v>
      </c>
      <c r="AB47" t="str">
        <f>TEXT(C47, "mmmm")</f>
        <v>January</v>
      </c>
      <c r="AC47">
        <f>YEAR(C47)</f>
        <v>2024</v>
      </c>
      <c r="AD47" t="str">
        <f>IF(X47&lt;0, "Invalid: Ship Date Before Order Date", IF(W47&lt;0, "Invalid: Negative Discount", IF(W47&gt;0.5, "Invalid: Exceeds Allowed Discount", "OK")))</f>
        <v>OK</v>
      </c>
    </row>
    <row r="48" spans="1:30">
      <c r="A48" t="s">
        <v>331</v>
      </c>
      <c r="B48" t="str">
        <f t="shared" si="0"/>
        <v>Unique</v>
      </c>
      <c r="C48" s="3">
        <v>45492</v>
      </c>
      <c r="D48" s="3">
        <v>45492</v>
      </c>
      <c r="E48" t="s">
        <v>333</v>
      </c>
      <c r="F48" t="s">
        <v>72</v>
      </c>
      <c r="G48" t="s">
        <v>41</v>
      </c>
      <c r="H48" t="s">
        <v>62</v>
      </c>
      <c r="I48" t="s">
        <v>242</v>
      </c>
      <c r="J48" t="s">
        <v>243</v>
      </c>
      <c r="K48" t="s">
        <v>45</v>
      </c>
      <c r="L48" t="s">
        <v>204</v>
      </c>
      <c r="M48" t="s">
        <v>334</v>
      </c>
      <c r="N48" t="s">
        <v>67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124</v>
      </c>
      <c r="V48" t="s">
        <v>125</v>
      </c>
      <c r="W48">
        <f>IF(ISBLANK(Q48), 0, IFERROR(VALUE(Q48), 0.7))</f>
        <v>0.25</v>
      </c>
      <c r="X48">
        <f>D48 - C48</f>
        <v>0</v>
      </c>
      <c r="Y48">
        <f>O48 * P48 * (1 - W48)</f>
        <v>16110.8325</v>
      </c>
      <c r="Z48">
        <f>Y48 - S48</f>
        <v>5430.8024999999998</v>
      </c>
      <c r="AA48">
        <f>IFERROR(Z48 / Y48, 0)</f>
        <v>0.33709012243780695</v>
      </c>
      <c r="AB48" t="str">
        <f>TEXT(C48, "mmmm")</f>
        <v>July</v>
      </c>
      <c r="AC48">
        <f>YEAR(C48)</f>
        <v>2024</v>
      </c>
      <c r="AD48" t="str">
        <f>IF(X48&lt;0, "Invalid: Ship Date Before Order Date", IF(W48&lt;0, "Invalid: Negative Discount", IF(W48&gt;0.5, "Invalid: Exceeds Allowed Discount", "OK")))</f>
        <v>OK</v>
      </c>
    </row>
    <row r="49" spans="1:30">
      <c r="A49" t="s">
        <v>335</v>
      </c>
      <c r="B49" t="str">
        <f t="shared" si="0"/>
        <v>Unique</v>
      </c>
      <c r="C49" s="3">
        <v>45634</v>
      </c>
      <c r="D49" s="3">
        <v>45516</v>
      </c>
      <c r="E49" t="s">
        <v>338</v>
      </c>
      <c r="F49" t="s">
        <v>148</v>
      </c>
      <c r="G49" t="s">
        <v>108</v>
      </c>
      <c r="H49" t="s">
        <v>62</v>
      </c>
      <c r="I49" t="s">
        <v>339</v>
      </c>
      <c r="J49" t="s">
        <v>340</v>
      </c>
      <c r="K49" t="s">
        <v>30</v>
      </c>
      <c r="L49" t="s">
        <v>156</v>
      </c>
      <c r="M49" t="s">
        <v>341</v>
      </c>
      <c r="N49" t="s">
        <v>67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34</v>
      </c>
      <c r="V49" t="s">
        <v>35</v>
      </c>
      <c r="W49">
        <f>IF(ISBLANK(Q49), 0, IFERROR(VALUE(Q49), 0.7))</f>
        <v>0.1</v>
      </c>
      <c r="X49">
        <f>D49 - C49</f>
        <v>-118</v>
      </c>
      <c r="Y49">
        <f>O49 * P49 * (1 - W49)</f>
        <v>17606.232</v>
      </c>
      <c r="Z49">
        <f>Y49 - S49</f>
        <v>5167.2720000000008</v>
      </c>
      <c r="AA49">
        <f>IFERROR(Z49 / Y49, 0)</f>
        <v>0.29349107747756592</v>
      </c>
      <c r="AB49" t="str">
        <f>TEXT(C49, "mmmm")</f>
        <v>December</v>
      </c>
      <c r="AC49">
        <f>YEAR(C49)</f>
        <v>2024</v>
      </c>
      <c r="AD49" t="str">
        <f>IF(X49&lt;0, "Invalid: Ship Date Before Order Date", IF(W49&lt;0, "Invalid: Negative Discount", IF(W49&gt;0.5, "Invalid: Exceeds Allowed Discount", "OK")))</f>
        <v>Invalid: Ship Date Before Order Date</v>
      </c>
    </row>
    <row r="50" spans="1:30">
      <c r="A50" t="s">
        <v>342</v>
      </c>
      <c r="B50" t="str">
        <f t="shared" si="0"/>
        <v>Unique</v>
      </c>
      <c r="C50" s="3">
        <v>45687</v>
      </c>
      <c r="D50" s="3">
        <v>45693</v>
      </c>
      <c r="E50" t="s">
        <v>345</v>
      </c>
      <c r="F50" t="s">
        <v>93</v>
      </c>
      <c r="G50" t="s">
        <v>108</v>
      </c>
      <c r="H50" t="s">
        <v>73</v>
      </c>
      <c r="I50" t="s">
        <v>74</v>
      </c>
      <c r="J50" t="s">
        <v>75</v>
      </c>
      <c r="K50" t="s">
        <v>45</v>
      </c>
      <c r="L50" t="s">
        <v>76</v>
      </c>
      <c r="M50" t="s">
        <v>346</v>
      </c>
      <c r="N50" t="s">
        <v>33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34</v>
      </c>
      <c r="V50" t="s">
        <v>35</v>
      </c>
      <c r="W50">
        <f>IF(ISBLANK(Q50), 0, IFERROR(VALUE(Q50), 0.7))</f>
        <v>0</v>
      </c>
      <c r="X50">
        <f>D50 - C50</f>
        <v>6</v>
      </c>
      <c r="Y50">
        <f>O50 * P50 * (1 - W50)</f>
        <v>28445.62</v>
      </c>
      <c r="Z50">
        <f>Y50 - S50</f>
        <v>7507.0299999999988</v>
      </c>
      <c r="AA50">
        <f>IFERROR(Z50 / Y50, 0)</f>
        <v>0.26390811660986818</v>
      </c>
      <c r="AB50" t="str">
        <f>TEXT(C50, "mmmm")</f>
        <v>January</v>
      </c>
      <c r="AC50">
        <f>YEAR(C50)</f>
        <v>2025</v>
      </c>
      <c r="AD50" t="str">
        <f>IF(X50&lt;0, "Invalid: Ship Date Before Order Date", IF(W50&lt;0, "Invalid: Negative Discount", IF(W50&gt;0.5, "Invalid: Exceeds Allowed Discount", "OK")))</f>
        <v>OK</v>
      </c>
    </row>
    <row r="51" spans="1:30">
      <c r="A51" t="s">
        <v>347</v>
      </c>
      <c r="B51" t="str">
        <f t="shared" si="0"/>
        <v>Unique</v>
      </c>
      <c r="C51" s="3">
        <v>45388</v>
      </c>
      <c r="D51" s="3">
        <v>45395</v>
      </c>
      <c r="E51" t="s">
        <v>350</v>
      </c>
      <c r="F51" t="s">
        <v>162</v>
      </c>
      <c r="G51" t="s">
        <v>115</v>
      </c>
      <c r="H51" t="s">
        <v>27</v>
      </c>
      <c r="I51" t="s">
        <v>174</v>
      </c>
      <c r="J51" t="s">
        <v>175</v>
      </c>
      <c r="K51" t="s">
        <v>86</v>
      </c>
      <c r="L51" t="s">
        <v>94</v>
      </c>
      <c r="M51" t="s">
        <v>351</v>
      </c>
      <c r="N51" t="s">
        <v>33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34</v>
      </c>
      <c r="V51" t="s">
        <v>35</v>
      </c>
      <c r="W51">
        <f>IF(ISBLANK(Q51), 0, IFERROR(VALUE(Q51), 0.7))</f>
        <v>0.05</v>
      </c>
      <c r="X51">
        <f>D51 - C51</f>
        <v>7</v>
      </c>
      <c r="Y51">
        <f>O51 * P51 * (1 - W51)</f>
        <v>6772.5404999999992</v>
      </c>
      <c r="Z51">
        <f>Y51 - S51</f>
        <v>1017.0804999999991</v>
      </c>
      <c r="AA51">
        <f>IFERROR(Z51 / Y51, 0)</f>
        <v>0.15017710119267641</v>
      </c>
      <c r="AB51" t="str">
        <f>TEXT(C51, "mmmm")</f>
        <v>April</v>
      </c>
      <c r="AC51">
        <f>YEAR(C51)</f>
        <v>2024</v>
      </c>
      <c r="AD51" t="str">
        <f>IF(X51&lt;0, "Invalid: Ship Date Before Order Date", IF(W51&lt;0, "Invalid: Negative Discount", IF(W51&gt;0.5, "Invalid: Exceeds Allowed Discount", "OK")))</f>
        <v>OK</v>
      </c>
    </row>
    <row r="52" spans="1:30">
      <c r="A52" t="s">
        <v>352</v>
      </c>
      <c r="B52" t="str">
        <f t="shared" si="0"/>
        <v>Unique</v>
      </c>
      <c r="C52" s="3">
        <v>45788</v>
      </c>
      <c r="D52" s="3">
        <v>45796</v>
      </c>
      <c r="E52" t="s">
        <v>355</v>
      </c>
      <c r="F52" t="s">
        <v>168</v>
      </c>
      <c r="G52" t="s">
        <v>26</v>
      </c>
      <c r="H52" t="s">
        <v>42</v>
      </c>
      <c r="I52" t="s">
        <v>121</v>
      </c>
      <c r="J52" t="s">
        <v>122</v>
      </c>
      <c r="K52" t="s">
        <v>86</v>
      </c>
      <c r="L52" t="s">
        <v>94</v>
      </c>
      <c r="M52" t="s">
        <v>356</v>
      </c>
      <c r="N52" t="s">
        <v>67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34</v>
      </c>
      <c r="V52" t="s">
        <v>35</v>
      </c>
      <c r="W52">
        <f>IF(ISBLANK(Q52), 0, IFERROR(VALUE(Q52), 0.7))</f>
        <v>0.15</v>
      </c>
      <c r="X52">
        <f>D52 - C52</f>
        <v>8</v>
      </c>
      <c r="Y52">
        <f>O52 * P52 * (1 - W52)</f>
        <v>2025.38</v>
      </c>
      <c r="Z52">
        <f>Y52 - S52</f>
        <v>884.73</v>
      </c>
      <c r="AA52">
        <f>IFERROR(Z52 / Y52, 0)</f>
        <v>0.43682173221815163</v>
      </c>
      <c r="AB52" t="str">
        <f>TEXT(C52, "mmmm")</f>
        <v>May</v>
      </c>
      <c r="AC52">
        <f>YEAR(C52)</f>
        <v>2025</v>
      </c>
      <c r="AD52" t="str">
        <f>IF(X52&lt;0, "Invalid: Ship Date Before Order Date", IF(W52&lt;0, "Invalid: Negative Discount", IF(W52&gt;0.5, "Invalid: Exceeds Allowed Discount", "OK")))</f>
        <v>OK</v>
      </c>
    </row>
    <row r="53" spans="1:30">
      <c r="A53" t="s">
        <v>357</v>
      </c>
      <c r="B53" t="str">
        <f t="shared" si="0"/>
        <v>Unique</v>
      </c>
      <c r="C53" s="3">
        <v>45406</v>
      </c>
      <c r="D53" s="3">
        <v>45411</v>
      </c>
      <c r="E53" t="s">
        <v>360</v>
      </c>
      <c r="F53" t="s">
        <v>72</v>
      </c>
      <c r="G53" t="s">
        <v>108</v>
      </c>
      <c r="H53" t="s">
        <v>62</v>
      </c>
      <c r="I53" t="s">
        <v>63</v>
      </c>
      <c r="J53" t="s">
        <v>64</v>
      </c>
      <c r="K53" t="s">
        <v>30</v>
      </c>
      <c r="L53" t="s">
        <v>54</v>
      </c>
      <c r="M53" t="s">
        <v>361</v>
      </c>
      <c r="N53" t="s">
        <v>67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34</v>
      </c>
      <c r="V53" t="s">
        <v>35</v>
      </c>
      <c r="W53">
        <f>IF(ISBLANK(Q53), 0, IFERROR(VALUE(Q53), 0.7))</f>
        <v>0</v>
      </c>
      <c r="X53">
        <f>D53 - C53</f>
        <v>5</v>
      </c>
      <c r="Y53">
        <f>O53 * P53 * (1 - W53)</f>
        <v>9168.48</v>
      </c>
      <c r="Z53">
        <f>Y53 - S53</f>
        <v>1728.7099999999991</v>
      </c>
      <c r="AA53">
        <f>IFERROR(Z53 / Y53, 0)</f>
        <v>0.18854924698532355</v>
      </c>
      <c r="AB53" t="str">
        <f>TEXT(C53, "mmmm")</f>
        <v>April</v>
      </c>
      <c r="AC53">
        <f>YEAR(C53)</f>
        <v>2024</v>
      </c>
      <c r="AD53" t="str">
        <f>IF(X53&lt;0, "Invalid: Ship Date Before Order Date", IF(W53&lt;0, "Invalid: Negative Discount", IF(W53&gt;0.5, "Invalid: Exceeds Allowed Discount", "OK")))</f>
        <v>OK</v>
      </c>
    </row>
    <row r="54" spans="1:30">
      <c r="A54" t="s">
        <v>362</v>
      </c>
      <c r="B54" t="str">
        <f t="shared" si="0"/>
        <v>Unique</v>
      </c>
      <c r="C54" s="3">
        <v>45591</v>
      </c>
      <c r="D54" s="3">
        <v>45593</v>
      </c>
      <c r="E54" t="s">
        <v>365</v>
      </c>
      <c r="F54" t="s">
        <v>366</v>
      </c>
      <c r="G54" t="s">
        <v>41</v>
      </c>
      <c r="H54" t="s">
        <v>27</v>
      </c>
      <c r="I54" t="s">
        <v>28</v>
      </c>
      <c r="J54" t="s">
        <v>29</v>
      </c>
      <c r="K54" t="s">
        <v>45</v>
      </c>
      <c r="L54" t="s">
        <v>76</v>
      </c>
      <c r="M54" t="s">
        <v>367</v>
      </c>
      <c r="N54" t="s">
        <v>56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200</v>
      </c>
      <c r="V54" t="s">
        <v>78</v>
      </c>
      <c r="W54">
        <f>IF(ISBLANK(Q54), 0, IFERROR(VALUE(Q54), 0.7))</f>
        <v>0</v>
      </c>
      <c r="X54">
        <f>D54 - C54</f>
        <v>2</v>
      </c>
      <c r="Y54">
        <f>O54 * P54 * (1 - W54)</f>
        <v>12596.670000000002</v>
      </c>
      <c r="Z54">
        <f>Y54 - S54</f>
        <v>1993.380000000001</v>
      </c>
      <c r="AA54">
        <f>IFERROR(Z54 / Y54, 0)</f>
        <v>0.15824658421630483</v>
      </c>
      <c r="AB54" t="str">
        <f>TEXT(C54, "mmmm")</f>
        <v>October</v>
      </c>
      <c r="AC54">
        <f>YEAR(C54)</f>
        <v>2024</v>
      </c>
      <c r="AD54" t="str">
        <f>IF(X54&lt;0, "Invalid: Ship Date Before Order Date", IF(W54&lt;0, "Invalid: Negative Discount", IF(W54&gt;0.5, "Invalid: Exceeds Allowed Discount", "OK")))</f>
        <v>OK</v>
      </c>
    </row>
    <row r="55" spans="1:30">
      <c r="A55" t="s">
        <v>368</v>
      </c>
      <c r="B55" t="str">
        <f t="shared" si="0"/>
        <v>Unique</v>
      </c>
      <c r="C55" s="3">
        <v>45747</v>
      </c>
      <c r="D55" s="3">
        <v>45747</v>
      </c>
      <c r="E55" t="s">
        <v>371</v>
      </c>
      <c r="F55" t="s">
        <v>366</v>
      </c>
      <c r="G55" t="s">
        <v>115</v>
      </c>
      <c r="H55" t="s">
        <v>73</v>
      </c>
      <c r="I55" t="s">
        <v>235</v>
      </c>
      <c r="J55" t="s">
        <v>236</v>
      </c>
      <c r="K55" t="s">
        <v>30</v>
      </c>
      <c r="L55" t="s">
        <v>156</v>
      </c>
      <c r="M55" t="s">
        <v>372</v>
      </c>
      <c r="N55" t="s">
        <v>56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34</v>
      </c>
      <c r="V55" t="s">
        <v>35</v>
      </c>
      <c r="W55">
        <f>IF(ISBLANK(Q55), 0, IFERROR(VALUE(Q55), 0.7))</f>
        <v>0.15</v>
      </c>
      <c r="X55">
        <f>D55 - C55</f>
        <v>0</v>
      </c>
      <c r="Y55">
        <f>O55 * P55 * (1 - W55)</f>
        <v>5131.7475000000004</v>
      </c>
      <c r="Z55">
        <f>Y55 - S55</f>
        <v>2293.0675000000006</v>
      </c>
      <c r="AA55">
        <f>IFERROR(Z55 / Y55, 0)</f>
        <v>0.44683950252813498</v>
      </c>
      <c r="AB55" t="str">
        <f>TEXT(C55, "mmmm")</f>
        <v>March</v>
      </c>
      <c r="AC55">
        <f>YEAR(C55)</f>
        <v>2025</v>
      </c>
      <c r="AD55" t="str">
        <f>IF(X55&lt;0, "Invalid: Ship Date Before Order Date", IF(W55&lt;0, "Invalid: Negative Discount", IF(W55&gt;0.5, "Invalid: Exceeds Allowed Discount", "OK")))</f>
        <v>OK</v>
      </c>
    </row>
    <row r="56" spans="1:30">
      <c r="A56" t="s">
        <v>373</v>
      </c>
      <c r="B56" t="str">
        <f t="shared" si="0"/>
        <v>Unique</v>
      </c>
      <c r="C56" s="3">
        <v>45807</v>
      </c>
      <c r="D56" s="3">
        <v>45810</v>
      </c>
      <c r="E56" t="s">
        <v>376</v>
      </c>
      <c r="F56" t="s">
        <v>61</v>
      </c>
      <c r="G56" t="s">
        <v>108</v>
      </c>
      <c r="H56" t="s">
        <v>62</v>
      </c>
      <c r="I56" t="s">
        <v>339</v>
      </c>
      <c r="J56" t="s">
        <v>340</v>
      </c>
      <c r="K56" t="s">
        <v>30</v>
      </c>
      <c r="L56" t="s">
        <v>109</v>
      </c>
      <c r="M56" t="s">
        <v>377</v>
      </c>
      <c r="N56" t="s">
        <v>48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200</v>
      </c>
      <c r="V56" t="s">
        <v>78</v>
      </c>
      <c r="W56">
        <f>IF(ISBLANK(Q56), 0, IFERROR(VALUE(Q56), 0.7))</f>
        <v>0.1</v>
      </c>
      <c r="X56">
        <f>D56 - C56</f>
        <v>3</v>
      </c>
      <c r="Y56">
        <f>O56 * P56 * (1 - W56)</f>
        <v>3415.4639999999999</v>
      </c>
      <c r="Z56">
        <f>Y56 - S56</f>
        <v>1422.2339999999999</v>
      </c>
      <c r="AA56">
        <f>IFERROR(Z56 / Y56, 0)</f>
        <v>0.4164101861416194</v>
      </c>
      <c r="AB56" t="str">
        <f>TEXT(C56, "mmmm")</f>
        <v>May</v>
      </c>
      <c r="AC56">
        <f>YEAR(C56)</f>
        <v>2025</v>
      </c>
      <c r="AD56" t="str">
        <f>IF(X56&lt;0, "Invalid: Ship Date Before Order Date", IF(W56&lt;0, "Invalid: Negative Discount", IF(W56&gt;0.5, "Invalid: Exceeds Allowed Discount", "OK")))</f>
        <v>OK</v>
      </c>
    </row>
    <row r="57" spans="1:30">
      <c r="A57" t="s">
        <v>378</v>
      </c>
      <c r="B57" t="str">
        <f t="shared" si="0"/>
        <v>Unique</v>
      </c>
      <c r="C57" s="3">
        <v>45664</v>
      </c>
      <c r="D57" s="3">
        <v>45723</v>
      </c>
      <c r="E57" t="s">
        <v>381</v>
      </c>
      <c r="F57" t="s">
        <v>40</v>
      </c>
      <c r="G57" t="s">
        <v>41</v>
      </c>
      <c r="H57" t="s">
        <v>62</v>
      </c>
      <c r="I57" t="s">
        <v>100</v>
      </c>
      <c r="J57" t="s">
        <v>101</v>
      </c>
      <c r="K57" t="s">
        <v>86</v>
      </c>
      <c r="L57" t="s">
        <v>382</v>
      </c>
      <c r="M57" t="s">
        <v>383</v>
      </c>
      <c r="N57" t="s">
        <v>48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34</v>
      </c>
      <c r="V57" t="s">
        <v>35</v>
      </c>
      <c r="W57">
        <f>IF(ISBLANK(Q57), 0, IFERROR(VALUE(Q57), 0.7))</f>
        <v>0.25</v>
      </c>
      <c r="X57">
        <f>D57 - C57</f>
        <v>59</v>
      </c>
      <c r="Y57">
        <f>O57 * P57 * (1 - W57)</f>
        <v>3411.54</v>
      </c>
      <c r="Z57">
        <f>Y57 - S57</f>
        <v>608.40999999999985</v>
      </c>
      <c r="AA57">
        <f>IFERROR(Z57 / Y57, 0)</f>
        <v>0.17833881472883209</v>
      </c>
      <c r="AB57" t="str">
        <f>TEXT(C57, "mmmm")</f>
        <v>January</v>
      </c>
      <c r="AC57">
        <f>YEAR(C57)</f>
        <v>2025</v>
      </c>
      <c r="AD57" t="str">
        <f>IF(X57&lt;0, "Invalid: Ship Date Before Order Date", IF(W57&lt;0, "Invalid: Negative Discount", IF(W57&gt;0.5, "Invalid: Exceeds Allowed Discount", "OK")))</f>
        <v>OK</v>
      </c>
    </row>
    <row r="58" spans="1:30">
      <c r="A58" t="s">
        <v>384</v>
      </c>
      <c r="B58" t="str">
        <f t="shared" si="0"/>
        <v>Unique</v>
      </c>
      <c r="C58" s="3">
        <v>45662</v>
      </c>
      <c r="D58" s="3">
        <v>45809</v>
      </c>
      <c r="E58" t="s">
        <v>387</v>
      </c>
      <c r="F58" t="s">
        <v>25</v>
      </c>
      <c r="G58" t="s">
        <v>26</v>
      </c>
      <c r="H58" t="s">
        <v>62</v>
      </c>
      <c r="I58" t="s">
        <v>229</v>
      </c>
      <c r="J58" t="s">
        <v>230</v>
      </c>
      <c r="K58" t="s">
        <v>30</v>
      </c>
      <c r="L58" t="s">
        <v>198</v>
      </c>
      <c r="M58" t="s">
        <v>388</v>
      </c>
      <c r="N58" t="s">
        <v>33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124</v>
      </c>
      <c r="V58" t="s">
        <v>78</v>
      </c>
      <c r="W58">
        <f>IF(ISBLANK(Q58), 0, IFERROR(VALUE(Q58), 0.7))</f>
        <v>0</v>
      </c>
      <c r="X58">
        <f>D58 - C58</f>
        <v>147</v>
      </c>
      <c r="Y58">
        <f>O58 * P58 * (1 - W58)</f>
        <v>9466.83</v>
      </c>
      <c r="Z58">
        <f>Y58 - S58</f>
        <v>2909</v>
      </c>
      <c r="AA58">
        <f>IFERROR(Z58 / Y58, 0)</f>
        <v>0.30728343067320318</v>
      </c>
      <c r="AB58" t="str">
        <f>TEXT(C58, "mmmm")</f>
        <v>January</v>
      </c>
      <c r="AC58">
        <f>YEAR(C58)</f>
        <v>2025</v>
      </c>
      <c r="AD58" t="str">
        <f>IF(X58&lt;0, "Invalid: Ship Date Before Order Date", IF(W58&lt;0, "Invalid: Negative Discount", IF(W58&gt;0.5, "Invalid: Exceeds Allowed Discount", "OK")))</f>
        <v>OK</v>
      </c>
    </row>
    <row r="59" spans="1:30">
      <c r="A59" t="s">
        <v>389</v>
      </c>
      <c r="B59" t="str">
        <f t="shared" si="0"/>
        <v>Unique</v>
      </c>
      <c r="C59" s="3">
        <v>45329</v>
      </c>
      <c r="D59" s="3">
        <v>45337</v>
      </c>
      <c r="E59" t="s">
        <v>392</v>
      </c>
      <c r="F59" t="s">
        <v>142</v>
      </c>
      <c r="G59" t="s">
        <v>26</v>
      </c>
      <c r="H59" t="s">
        <v>73</v>
      </c>
      <c r="I59" t="s">
        <v>249</v>
      </c>
      <c r="J59" t="s">
        <v>250</v>
      </c>
      <c r="K59" t="s">
        <v>45</v>
      </c>
      <c r="L59" t="s">
        <v>76</v>
      </c>
      <c r="M59" t="s">
        <v>393</v>
      </c>
      <c r="N59" t="s">
        <v>48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34</v>
      </c>
      <c r="V59" t="s">
        <v>35</v>
      </c>
      <c r="W59">
        <f>IF(ISBLANK(Q59), 0, IFERROR(VALUE(Q59), 0.7))</f>
        <v>0</v>
      </c>
      <c r="X59">
        <f>D59 - C59</f>
        <v>8</v>
      </c>
      <c r="Y59">
        <f>O59 * P59 * (1 - W59)</f>
        <v>1279.3499999999999</v>
      </c>
      <c r="Z59">
        <f>Y59 - S59</f>
        <v>187.80999999999995</v>
      </c>
      <c r="AA59">
        <f>IFERROR(Z59 / Y59, 0)</f>
        <v>0.14680110993864068</v>
      </c>
      <c r="AB59" t="str">
        <f>TEXT(C59, "mmmm")</f>
        <v>February</v>
      </c>
      <c r="AC59">
        <f>YEAR(C59)</f>
        <v>2024</v>
      </c>
      <c r="AD59" t="str">
        <f>IF(X59&lt;0, "Invalid: Ship Date Before Order Date", IF(W59&lt;0, "Invalid: Negative Discount", IF(W59&gt;0.5, "Invalid: Exceeds Allowed Discount", "OK")))</f>
        <v>OK</v>
      </c>
    </row>
    <row r="60" spans="1:30">
      <c r="A60" t="s">
        <v>394</v>
      </c>
      <c r="B60" t="str">
        <f t="shared" si="0"/>
        <v>Unique</v>
      </c>
      <c r="C60" s="3">
        <v>45536</v>
      </c>
      <c r="D60" s="3">
        <v>45542</v>
      </c>
      <c r="E60" t="s">
        <v>397</v>
      </c>
      <c r="F60" t="s">
        <v>53</v>
      </c>
      <c r="G60" t="s">
        <v>115</v>
      </c>
      <c r="H60" t="s">
        <v>27</v>
      </c>
      <c r="I60" t="s">
        <v>28</v>
      </c>
      <c r="J60" t="s">
        <v>29</v>
      </c>
      <c r="K60" t="s">
        <v>30</v>
      </c>
      <c r="L60" t="s">
        <v>156</v>
      </c>
      <c r="M60" t="s">
        <v>398</v>
      </c>
      <c r="N60" t="s">
        <v>4110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137</v>
      </c>
      <c r="V60" t="s">
        <v>125</v>
      </c>
      <c r="W60">
        <f>IF(ISBLANK(Q60), 0, IFERROR(VALUE(Q60), 0.7))</f>
        <v>0.1</v>
      </c>
      <c r="X60">
        <f>D60 - C60</f>
        <v>6</v>
      </c>
      <c r="Y60">
        <f>O60 * P60 * (1 - W60)</f>
        <v>11254.788</v>
      </c>
      <c r="Z60">
        <f>Y60 - S60</f>
        <v>4676.7280000000001</v>
      </c>
      <c r="AA60">
        <f>IFERROR(Z60 / Y60, 0)</f>
        <v>0.41553230500654476</v>
      </c>
      <c r="AB60" t="str">
        <f>TEXT(C60, "mmmm")</f>
        <v>September</v>
      </c>
      <c r="AC60">
        <f>YEAR(C60)</f>
        <v>2024</v>
      </c>
      <c r="AD60" t="str">
        <f>IF(X60&lt;0, "Invalid: Ship Date Before Order Date", IF(W60&lt;0, "Invalid: Negative Discount", IF(W60&gt;0.5, "Invalid: Exceeds Allowed Discount", "OK")))</f>
        <v>OK</v>
      </c>
    </row>
    <row r="61" spans="1:30">
      <c r="A61" t="s">
        <v>399</v>
      </c>
      <c r="B61" t="str">
        <f t="shared" si="0"/>
        <v>Unique</v>
      </c>
      <c r="C61" s="3">
        <v>45493</v>
      </c>
      <c r="D61" s="3">
        <v>45498</v>
      </c>
      <c r="E61" t="s">
        <v>402</v>
      </c>
      <c r="F61" t="s">
        <v>142</v>
      </c>
      <c r="G61" t="s">
        <v>108</v>
      </c>
      <c r="H61" t="s">
        <v>42</v>
      </c>
      <c r="I61" t="s">
        <v>216</v>
      </c>
      <c r="J61" t="s">
        <v>217</v>
      </c>
      <c r="K61" t="s">
        <v>30</v>
      </c>
      <c r="L61" t="s">
        <v>109</v>
      </c>
      <c r="M61" t="s">
        <v>403</v>
      </c>
      <c r="N61" t="s">
        <v>48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34</v>
      </c>
      <c r="V61" t="s">
        <v>78</v>
      </c>
      <c r="W61">
        <f>IF(ISBLANK(Q61), 0, IFERROR(VALUE(Q61), 0.7))</f>
        <v>0.2</v>
      </c>
      <c r="X61">
        <f>D61 - C61</f>
        <v>5</v>
      </c>
      <c r="Y61">
        <f>O61 * P61 * (1 - W61)</f>
        <v>16535.400000000001</v>
      </c>
      <c r="Z61">
        <f>Y61 - S61</f>
        <v>3545.1900000000023</v>
      </c>
      <c r="AA61">
        <f>IFERROR(Z61 / Y61, 0)</f>
        <v>0.21440001451431487</v>
      </c>
      <c r="AB61" t="str">
        <f>TEXT(C61, "mmmm")</f>
        <v>July</v>
      </c>
      <c r="AC61">
        <f>YEAR(C61)</f>
        <v>2024</v>
      </c>
      <c r="AD61" t="str">
        <f>IF(X61&lt;0, "Invalid: Ship Date Before Order Date", IF(W61&lt;0, "Invalid: Negative Discount", IF(W61&gt;0.5, "Invalid: Exceeds Allowed Discount", "OK")))</f>
        <v>OK</v>
      </c>
    </row>
    <row r="62" spans="1:30">
      <c r="A62" t="s">
        <v>404</v>
      </c>
      <c r="B62" t="str">
        <f t="shared" si="0"/>
        <v>Unique</v>
      </c>
      <c r="C62" s="3">
        <v>45486</v>
      </c>
      <c r="D62" s="3">
        <v>45492</v>
      </c>
      <c r="E62" t="s">
        <v>407</v>
      </c>
      <c r="F62" t="s">
        <v>72</v>
      </c>
      <c r="G62" t="s">
        <v>108</v>
      </c>
      <c r="H62" t="s">
        <v>42</v>
      </c>
      <c r="I62" t="s">
        <v>216</v>
      </c>
      <c r="J62" t="s">
        <v>217</v>
      </c>
      <c r="K62" t="s">
        <v>30</v>
      </c>
      <c r="L62" t="s">
        <v>109</v>
      </c>
      <c r="M62" t="s">
        <v>408</v>
      </c>
      <c r="N62" t="s">
        <v>48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124</v>
      </c>
      <c r="V62" t="s">
        <v>78</v>
      </c>
      <c r="W62">
        <f>IF(ISBLANK(Q62), 0, IFERROR(VALUE(Q62), 0.7))</f>
        <v>0.2</v>
      </c>
      <c r="X62">
        <f>D62 - C62</f>
        <v>6</v>
      </c>
      <c r="Y62">
        <f>O62 * P62 * (1 - W62)</f>
        <v>661.82400000000007</v>
      </c>
      <c r="Z62">
        <f>Y62 - S62</f>
        <v>180.35400000000004</v>
      </c>
      <c r="AA62">
        <f>IFERROR(Z62 / Y62, 0)</f>
        <v>0.27251051639106472</v>
      </c>
      <c r="AB62" t="str">
        <f>TEXT(C62, "mmmm")</f>
        <v>July</v>
      </c>
      <c r="AC62">
        <f>YEAR(C62)</f>
        <v>2024</v>
      </c>
      <c r="AD62" t="str">
        <f>IF(X62&lt;0, "Invalid: Ship Date Before Order Date", IF(W62&lt;0, "Invalid: Negative Discount", IF(W62&gt;0.5, "Invalid: Exceeds Allowed Discount", "OK")))</f>
        <v>OK</v>
      </c>
    </row>
    <row r="63" spans="1:30">
      <c r="A63" t="s">
        <v>409</v>
      </c>
      <c r="B63" t="str">
        <f t="shared" si="0"/>
        <v>Unique</v>
      </c>
      <c r="C63" s="3">
        <v>45398</v>
      </c>
      <c r="D63" s="3">
        <v>45398</v>
      </c>
      <c r="E63" t="s">
        <v>412</v>
      </c>
      <c r="F63" t="s">
        <v>83</v>
      </c>
      <c r="G63" t="s">
        <v>115</v>
      </c>
      <c r="H63" t="s">
        <v>42</v>
      </c>
      <c r="I63" t="s">
        <v>186</v>
      </c>
      <c r="J63" t="s">
        <v>187</v>
      </c>
      <c r="K63" t="s">
        <v>45</v>
      </c>
      <c r="L63" t="s">
        <v>204</v>
      </c>
      <c r="M63" t="s">
        <v>413</v>
      </c>
      <c r="N63" t="s">
        <v>67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34</v>
      </c>
      <c r="V63" t="s">
        <v>35</v>
      </c>
      <c r="W63">
        <f>IF(ISBLANK(Q63), 0, IFERROR(VALUE(Q63), 0.7))</f>
        <v>0</v>
      </c>
      <c r="X63">
        <f>D63 - C63</f>
        <v>0</v>
      </c>
      <c r="Y63">
        <f>O63 * P63 * (1 - W63)</f>
        <v>949.59</v>
      </c>
      <c r="Z63">
        <f>Y63 - S63</f>
        <v>198.34000000000003</v>
      </c>
      <c r="AA63">
        <f>IFERROR(Z63 / Y63, 0)</f>
        <v>0.20886909087079689</v>
      </c>
      <c r="AB63" t="str">
        <f>TEXT(C63, "mmmm")</f>
        <v>April</v>
      </c>
      <c r="AC63">
        <f>YEAR(C63)</f>
        <v>2024</v>
      </c>
      <c r="AD63" t="str">
        <f>IF(X63&lt;0, "Invalid: Ship Date Before Order Date", IF(W63&lt;0, "Invalid: Negative Discount", IF(W63&gt;0.5, "Invalid: Exceeds Allowed Discount", "OK")))</f>
        <v>OK</v>
      </c>
    </row>
    <row r="64" spans="1:30">
      <c r="A64" t="s">
        <v>414</v>
      </c>
      <c r="B64" t="str">
        <f t="shared" si="0"/>
        <v>Unique</v>
      </c>
      <c r="C64" s="3">
        <v>45595</v>
      </c>
      <c r="D64" s="3">
        <v>45333</v>
      </c>
      <c r="E64" t="s">
        <v>417</v>
      </c>
      <c r="F64" t="s">
        <v>168</v>
      </c>
      <c r="G64" t="s">
        <v>115</v>
      </c>
      <c r="H64" t="s">
        <v>27</v>
      </c>
      <c r="I64" t="s">
        <v>28</v>
      </c>
      <c r="J64" t="s">
        <v>29</v>
      </c>
      <c r="K64" t="s">
        <v>86</v>
      </c>
      <c r="L64" t="s">
        <v>223</v>
      </c>
      <c r="M64" t="s">
        <v>418</v>
      </c>
      <c r="N64" t="s">
        <v>67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34</v>
      </c>
      <c r="V64" t="s">
        <v>35</v>
      </c>
      <c r="W64">
        <f>IF(ISBLANK(Q64), 0, IFERROR(VALUE(Q64), 0.7))</f>
        <v>0.2</v>
      </c>
      <c r="X64">
        <f>D64 - C64</f>
        <v>-262</v>
      </c>
      <c r="Y64">
        <f>O64 * P64 * (1 - W64)</f>
        <v>21904.488000000001</v>
      </c>
      <c r="Z64">
        <f>Y64 - S64</f>
        <v>8333.9380000000019</v>
      </c>
      <c r="AA64">
        <f>IFERROR(Z64 / Y64, 0)</f>
        <v>0.38046714445003244</v>
      </c>
      <c r="AB64" t="str">
        <f>TEXT(C64, "mmmm")</f>
        <v>October</v>
      </c>
      <c r="AC64">
        <f>YEAR(C64)</f>
        <v>2024</v>
      </c>
      <c r="AD64" t="str">
        <f>IF(X64&lt;0, "Invalid: Ship Date Before Order Date", IF(W64&lt;0, "Invalid: Negative Discount", IF(W64&gt;0.5, "Invalid: Exceeds Allowed Discount", "OK")))</f>
        <v>Invalid: Ship Date Before Order Date</v>
      </c>
    </row>
    <row r="65" spans="1:30">
      <c r="A65" t="s">
        <v>419</v>
      </c>
      <c r="B65" t="str">
        <f t="shared" si="0"/>
        <v>Unique</v>
      </c>
      <c r="C65" s="3">
        <v>45316</v>
      </c>
      <c r="D65" s="3">
        <v>45293</v>
      </c>
      <c r="E65" t="s">
        <v>422</v>
      </c>
      <c r="F65" t="s">
        <v>168</v>
      </c>
      <c r="G65" t="s">
        <v>115</v>
      </c>
      <c r="H65" t="s">
        <v>27</v>
      </c>
      <c r="I65" t="s">
        <v>323</v>
      </c>
      <c r="J65" t="s">
        <v>324</v>
      </c>
      <c r="K65" t="s">
        <v>30</v>
      </c>
      <c r="L65" t="s">
        <v>198</v>
      </c>
      <c r="M65" t="s">
        <v>423</v>
      </c>
      <c r="N65" t="s">
        <v>48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34</v>
      </c>
      <c r="V65" t="s">
        <v>35</v>
      </c>
      <c r="W65">
        <f>IF(ISBLANK(Q65), 0, IFERROR(VALUE(Q65), 0.7))</f>
        <v>0.15</v>
      </c>
      <c r="X65">
        <f>D65 - C65</f>
        <v>-23</v>
      </c>
      <c r="Y65">
        <f>O65 * P65 * (1 - W65)</f>
        <v>4815.7089999999998</v>
      </c>
      <c r="Z65">
        <f>Y65 - S65</f>
        <v>1787.9589999999998</v>
      </c>
      <c r="AA65">
        <f>IFERROR(Z65 / Y65, 0)</f>
        <v>0.37127637903369992</v>
      </c>
      <c r="AB65" t="str">
        <f>TEXT(C65, "mmmm")</f>
        <v>January</v>
      </c>
      <c r="AC65">
        <f>YEAR(C65)</f>
        <v>2024</v>
      </c>
      <c r="AD65" t="str">
        <f>IF(X65&lt;0, "Invalid: Ship Date Before Order Date", IF(W65&lt;0, "Invalid: Negative Discount", IF(W65&gt;0.5, "Invalid: Exceeds Allowed Discount", "OK")))</f>
        <v>Invalid: Ship Date Before Order Date</v>
      </c>
    </row>
    <row r="66" spans="1:30">
      <c r="A66" t="s">
        <v>424</v>
      </c>
      <c r="B66" t="str">
        <f t="shared" si="0"/>
        <v>Unique</v>
      </c>
      <c r="C66" s="3">
        <v>45649</v>
      </c>
      <c r="D66" s="3">
        <v>45655</v>
      </c>
      <c r="E66" t="s">
        <v>427</v>
      </c>
      <c r="F66" t="s">
        <v>162</v>
      </c>
      <c r="G66" t="s">
        <v>108</v>
      </c>
      <c r="H66" t="s">
        <v>42</v>
      </c>
      <c r="I66" t="s">
        <v>311</v>
      </c>
      <c r="J66" t="s">
        <v>312</v>
      </c>
      <c r="K66" t="s">
        <v>30</v>
      </c>
      <c r="L66" t="s">
        <v>31</v>
      </c>
      <c r="M66" t="s">
        <v>428</v>
      </c>
      <c r="N66" t="s">
        <v>56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124</v>
      </c>
      <c r="V66" t="s">
        <v>125</v>
      </c>
      <c r="W66">
        <f>IF(ISBLANK(Q66), 0, IFERROR(VALUE(Q66), 0.7))</f>
        <v>0</v>
      </c>
      <c r="X66">
        <f>D66 - C66</f>
        <v>6</v>
      </c>
      <c r="Y66">
        <f>O66 * P66 * (1 - W66)</f>
        <v>3134.8799999999997</v>
      </c>
      <c r="Z66">
        <f>Y66 - S66</f>
        <v>767.24999999999955</v>
      </c>
      <c r="AA66">
        <f>IFERROR(Z66 / Y66, 0)</f>
        <v>0.24474621038125849</v>
      </c>
      <c r="AB66" t="str">
        <f>TEXT(C66, "mmmm")</f>
        <v>December</v>
      </c>
      <c r="AC66">
        <f>YEAR(C66)</f>
        <v>2024</v>
      </c>
      <c r="AD66" t="str">
        <f>IF(X66&lt;0, "Invalid: Ship Date Before Order Date", IF(W66&lt;0, "Invalid: Negative Discount", IF(W66&gt;0.5, "Invalid: Exceeds Allowed Discount", "OK")))</f>
        <v>OK</v>
      </c>
    </row>
    <row r="67" spans="1:30">
      <c r="A67" t="s">
        <v>429</v>
      </c>
      <c r="B67" t="str">
        <f t="shared" ref="B67:B130" si="1">IF(COUNTIF(A:A, A67)&gt;1, "Review: Duplicate Order ID", "Unique")</f>
        <v>Unique</v>
      </c>
      <c r="C67" s="3">
        <v>45404</v>
      </c>
      <c r="D67" s="3">
        <v>45409</v>
      </c>
      <c r="E67" t="s">
        <v>432</v>
      </c>
      <c r="F67" t="s">
        <v>40</v>
      </c>
      <c r="G67" t="s">
        <v>115</v>
      </c>
      <c r="H67" t="s">
        <v>73</v>
      </c>
      <c r="I67" t="s">
        <v>74</v>
      </c>
      <c r="J67" t="s">
        <v>75</v>
      </c>
      <c r="K67" t="s">
        <v>30</v>
      </c>
      <c r="L67" t="s">
        <v>31</v>
      </c>
      <c r="M67" t="s">
        <v>433</v>
      </c>
      <c r="N67" t="s">
        <v>33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34</v>
      </c>
      <c r="V67" t="s">
        <v>35</v>
      </c>
      <c r="W67">
        <f>IF(ISBLANK(Q67), 0, IFERROR(VALUE(Q67), 0.7))</f>
        <v>0.05</v>
      </c>
      <c r="X67">
        <f>D67 - C67</f>
        <v>5</v>
      </c>
      <c r="Y67">
        <f>O67 * P67 * (1 - W67)</f>
        <v>4066.1804999999995</v>
      </c>
      <c r="Z67">
        <f>Y67 - S67</f>
        <v>1437.2604999999994</v>
      </c>
      <c r="AA67">
        <f>IFERROR(Z67 / Y67, 0)</f>
        <v>0.35346696980126674</v>
      </c>
      <c r="AB67" t="str">
        <f>TEXT(C67, "mmmm")</f>
        <v>April</v>
      </c>
      <c r="AC67">
        <f>YEAR(C67)</f>
        <v>2024</v>
      </c>
      <c r="AD67" t="str">
        <f>IF(X67&lt;0, "Invalid: Ship Date Before Order Date", IF(W67&lt;0, "Invalid: Negative Discount", IF(W67&gt;0.5, "Invalid: Exceeds Allowed Discount", "OK")))</f>
        <v>OK</v>
      </c>
    </row>
    <row r="68" spans="1:30">
      <c r="A68" t="s">
        <v>434</v>
      </c>
      <c r="B68" t="str">
        <f t="shared" si="1"/>
        <v>Unique</v>
      </c>
      <c r="C68" s="3">
        <v>45897</v>
      </c>
      <c r="D68" s="3">
        <v>45901</v>
      </c>
      <c r="E68" t="s">
        <v>437</v>
      </c>
      <c r="F68" t="s">
        <v>25</v>
      </c>
      <c r="G68" t="s">
        <v>41</v>
      </c>
      <c r="H68" t="s">
        <v>62</v>
      </c>
      <c r="I68" t="s">
        <v>339</v>
      </c>
      <c r="J68" t="s">
        <v>340</v>
      </c>
      <c r="K68" t="s">
        <v>86</v>
      </c>
      <c r="L68" t="s">
        <v>87</v>
      </c>
      <c r="M68" t="s">
        <v>438</v>
      </c>
      <c r="N68" t="s">
        <v>48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34</v>
      </c>
      <c r="V68" t="s">
        <v>35</v>
      </c>
      <c r="W68">
        <f>IF(ISBLANK(Q68), 0, IFERROR(VALUE(Q68), 0.7))</f>
        <v>0.05</v>
      </c>
      <c r="X68">
        <f>D68 - C68</f>
        <v>4</v>
      </c>
      <c r="Y68">
        <f>O68 * P68 * (1 - W68)</f>
        <v>7032.1089999999995</v>
      </c>
      <c r="Z68">
        <f>Y68 - S68</f>
        <v>2421.7689999999993</v>
      </c>
      <c r="AA68">
        <f>IFERROR(Z68 / Y68, 0)</f>
        <v>0.34438729547565311</v>
      </c>
      <c r="AB68" t="str">
        <f>TEXT(C68, "mmmm")</f>
        <v>August</v>
      </c>
      <c r="AC68">
        <f>YEAR(C68)</f>
        <v>2025</v>
      </c>
      <c r="AD68" t="str">
        <f>IF(X68&lt;0, "Invalid: Ship Date Before Order Date", IF(W68&lt;0, "Invalid: Negative Discount", IF(W68&gt;0.5, "Invalid: Exceeds Allowed Discount", "OK")))</f>
        <v>OK</v>
      </c>
    </row>
    <row r="69" spans="1:30">
      <c r="A69" t="s">
        <v>439</v>
      </c>
      <c r="B69" t="str">
        <f t="shared" si="1"/>
        <v>Unique</v>
      </c>
      <c r="C69" s="3">
        <v>45691</v>
      </c>
      <c r="D69" s="3">
        <v>45840</v>
      </c>
      <c r="E69" t="s">
        <v>442</v>
      </c>
      <c r="F69" t="s">
        <v>366</v>
      </c>
      <c r="G69" t="s">
        <v>26</v>
      </c>
      <c r="H69" t="s">
        <v>27</v>
      </c>
      <c r="I69" t="s">
        <v>323</v>
      </c>
      <c r="J69" t="s">
        <v>324</v>
      </c>
      <c r="K69" t="s">
        <v>30</v>
      </c>
      <c r="L69" t="s">
        <v>31</v>
      </c>
      <c r="M69" t="s">
        <v>443</v>
      </c>
      <c r="N69" t="s">
        <v>56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34</v>
      </c>
      <c r="V69" t="s">
        <v>35</v>
      </c>
      <c r="W69">
        <f>IF(ISBLANK(Q69), 0, IFERROR(VALUE(Q69), 0.7))</f>
        <v>0.05</v>
      </c>
      <c r="X69">
        <f>D69 - C69</f>
        <v>149</v>
      </c>
      <c r="Y69">
        <f>O69 * P69 * (1 - W69)</f>
        <v>24002.111000000001</v>
      </c>
      <c r="Z69">
        <f>Y69 - S69</f>
        <v>5294.5410000000011</v>
      </c>
      <c r="AA69">
        <f>IFERROR(Z69 / Y69, 0)</f>
        <v>0.2205864725815159</v>
      </c>
      <c r="AB69" t="str">
        <f>TEXT(C69, "mmmm")</f>
        <v>February</v>
      </c>
      <c r="AC69">
        <f>YEAR(C69)</f>
        <v>2025</v>
      </c>
      <c r="AD69" t="str">
        <f>IF(X69&lt;0, "Invalid: Ship Date Before Order Date", IF(W69&lt;0, "Invalid: Negative Discount", IF(W69&gt;0.5, "Invalid: Exceeds Allowed Discount", "OK")))</f>
        <v>OK</v>
      </c>
    </row>
    <row r="70" spans="1:30">
      <c r="A70" t="s">
        <v>444</v>
      </c>
      <c r="B70" t="str">
        <f t="shared" si="1"/>
        <v>Unique</v>
      </c>
      <c r="C70" s="3">
        <v>45606</v>
      </c>
      <c r="D70" s="3">
        <v>45609</v>
      </c>
      <c r="E70" t="s">
        <v>446</v>
      </c>
      <c r="F70" t="s">
        <v>53</v>
      </c>
      <c r="G70" t="s">
        <v>108</v>
      </c>
      <c r="H70" t="s">
        <v>42</v>
      </c>
      <c r="I70" t="s">
        <v>311</v>
      </c>
      <c r="J70" t="s">
        <v>312</v>
      </c>
      <c r="K70" t="s">
        <v>30</v>
      </c>
      <c r="L70" t="s">
        <v>156</v>
      </c>
      <c r="M70" t="s">
        <v>447</v>
      </c>
      <c r="N70" t="s">
        <v>33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200</v>
      </c>
      <c r="V70" t="s">
        <v>125</v>
      </c>
      <c r="W70">
        <f>IF(ISBLANK(Q70), 0, IFERROR(VALUE(Q70), 0.7))</f>
        <v>0</v>
      </c>
      <c r="X70">
        <f>D70 - C70</f>
        <v>3</v>
      </c>
      <c r="Y70">
        <f>O70 * P70 * (1 - W70)</f>
        <v>19900.079999999998</v>
      </c>
      <c r="Z70">
        <f>Y70 - S70</f>
        <v>8937.4199999999983</v>
      </c>
      <c r="AA70">
        <f>IFERROR(Z70 / Y70, 0)</f>
        <v>0.44911477742803041</v>
      </c>
      <c r="AB70" t="str">
        <f>TEXT(C70, "mmmm")</f>
        <v>November</v>
      </c>
      <c r="AC70">
        <f>YEAR(C70)</f>
        <v>2024</v>
      </c>
      <c r="AD70" t="str">
        <f>IF(X70&lt;0, "Invalid: Ship Date Before Order Date", IF(W70&lt;0, "Invalid: Negative Discount", IF(W70&gt;0.5, "Invalid: Exceeds Allowed Discount", "OK")))</f>
        <v>OK</v>
      </c>
    </row>
    <row r="71" spans="1:30">
      <c r="A71" t="s">
        <v>448</v>
      </c>
      <c r="B71" t="str">
        <f t="shared" si="1"/>
        <v>Unique</v>
      </c>
      <c r="C71" s="3">
        <v>45391</v>
      </c>
      <c r="D71" s="3">
        <v>45396</v>
      </c>
      <c r="E71" t="s">
        <v>451</v>
      </c>
      <c r="F71" t="s">
        <v>93</v>
      </c>
      <c r="G71" t="s">
        <v>41</v>
      </c>
      <c r="H71" t="s">
        <v>73</v>
      </c>
      <c r="I71" t="s">
        <v>235</v>
      </c>
      <c r="J71" t="s">
        <v>236</v>
      </c>
      <c r="K71" t="s">
        <v>86</v>
      </c>
      <c r="L71" t="s">
        <v>382</v>
      </c>
      <c r="M71" t="s">
        <v>452</v>
      </c>
      <c r="N71" t="s">
        <v>48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124</v>
      </c>
      <c r="V71" t="s">
        <v>125</v>
      </c>
      <c r="W71">
        <f>IF(ISBLANK(Q71), 0, IFERROR(VALUE(Q71), 0.7))</f>
        <v>0.1</v>
      </c>
      <c r="X71">
        <f>D71 - C71</f>
        <v>5</v>
      </c>
      <c r="Y71">
        <f>O71 * P71 * (1 - W71)</f>
        <v>21527.667000000001</v>
      </c>
      <c r="Z71">
        <f>Y71 - S71</f>
        <v>3240.0869999999995</v>
      </c>
      <c r="AA71">
        <f>IFERROR(Z71 / Y71, 0)</f>
        <v>0.15050804158202555</v>
      </c>
      <c r="AB71" t="str">
        <f>TEXT(C71, "mmmm")</f>
        <v>April</v>
      </c>
      <c r="AC71">
        <f>YEAR(C71)</f>
        <v>2024</v>
      </c>
      <c r="AD71" t="str">
        <f>IF(X71&lt;0, "Invalid: Ship Date Before Order Date", IF(W71&lt;0, "Invalid: Negative Discount", IF(W71&gt;0.5, "Invalid: Exceeds Allowed Discount", "OK")))</f>
        <v>OK</v>
      </c>
    </row>
    <row r="72" spans="1:30">
      <c r="A72" t="s">
        <v>453</v>
      </c>
      <c r="B72" t="str">
        <f t="shared" si="1"/>
        <v>Unique</v>
      </c>
      <c r="C72" s="3">
        <v>45891</v>
      </c>
      <c r="D72" s="3">
        <v>45896</v>
      </c>
      <c r="E72" t="s">
        <v>456</v>
      </c>
      <c r="F72" t="s">
        <v>25</v>
      </c>
      <c r="G72" t="s">
        <v>108</v>
      </c>
      <c r="H72" t="s">
        <v>62</v>
      </c>
      <c r="I72" t="s">
        <v>100</v>
      </c>
      <c r="J72" t="s">
        <v>101</v>
      </c>
      <c r="K72" t="s">
        <v>86</v>
      </c>
      <c r="L72" t="s">
        <v>223</v>
      </c>
      <c r="M72" t="s">
        <v>457</v>
      </c>
      <c r="N72" t="s">
        <v>56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34</v>
      </c>
      <c r="V72" t="s">
        <v>35</v>
      </c>
      <c r="W72">
        <f>IF(ISBLANK(Q72), 0, IFERROR(VALUE(Q72), 0.7))</f>
        <v>0.15</v>
      </c>
      <c r="X72">
        <f>D72 - C72</f>
        <v>5</v>
      </c>
      <c r="Y72">
        <f>O72 * P72 * (1 - W72)</f>
        <v>1539.979</v>
      </c>
      <c r="Z72">
        <f>Y72 - S72</f>
        <v>469.779</v>
      </c>
      <c r="AA72">
        <f>IFERROR(Z72 / Y72, 0)</f>
        <v>0.30505545854846072</v>
      </c>
      <c r="AB72" t="str">
        <f>TEXT(C72, "mmmm")</f>
        <v>August</v>
      </c>
      <c r="AC72">
        <f>YEAR(C72)</f>
        <v>2025</v>
      </c>
      <c r="AD72" t="str">
        <f>IF(X72&lt;0, "Invalid: Ship Date Before Order Date", IF(W72&lt;0, "Invalid: Negative Discount", IF(W72&gt;0.5, "Invalid: Exceeds Allowed Discount", "OK")))</f>
        <v>OK</v>
      </c>
    </row>
    <row r="73" spans="1:30">
      <c r="A73" t="s">
        <v>458</v>
      </c>
      <c r="B73" t="str">
        <f t="shared" si="1"/>
        <v>Unique</v>
      </c>
      <c r="C73" s="3">
        <v>45763</v>
      </c>
      <c r="D73" s="3">
        <v>45770</v>
      </c>
      <c r="E73" t="s">
        <v>460</v>
      </c>
      <c r="F73" t="s">
        <v>40</v>
      </c>
      <c r="G73" t="s">
        <v>41</v>
      </c>
      <c r="H73" t="s">
        <v>73</v>
      </c>
      <c r="I73" t="s">
        <v>249</v>
      </c>
      <c r="J73" t="s">
        <v>250</v>
      </c>
      <c r="K73" t="s">
        <v>86</v>
      </c>
      <c r="L73" t="s">
        <v>382</v>
      </c>
      <c r="M73" t="s">
        <v>461</v>
      </c>
      <c r="N73" t="s">
        <v>67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34</v>
      </c>
      <c r="V73" t="s">
        <v>35</v>
      </c>
      <c r="W73">
        <f>IF(ISBLANK(Q73), 0, IFERROR(VALUE(Q73), 0.7))</f>
        <v>0.1</v>
      </c>
      <c r="X73">
        <f>D73 - C73</f>
        <v>7</v>
      </c>
      <c r="Y73">
        <f>O73 * P73 * (1 - W73)</f>
        <v>10947.528</v>
      </c>
      <c r="Z73">
        <f>Y73 - S73</f>
        <v>4500.1680000000006</v>
      </c>
      <c r="AA73">
        <f>IFERROR(Z73 / Y73, 0)</f>
        <v>0.41106704636882413</v>
      </c>
      <c r="AB73" t="str">
        <f>TEXT(C73, "mmmm")</f>
        <v>April</v>
      </c>
      <c r="AC73">
        <f>YEAR(C73)</f>
        <v>2025</v>
      </c>
      <c r="AD73" t="str">
        <f>IF(X73&lt;0, "Invalid: Ship Date Before Order Date", IF(W73&lt;0, "Invalid: Negative Discount", IF(W73&gt;0.5, "Invalid: Exceeds Allowed Discount", "OK")))</f>
        <v>OK</v>
      </c>
    </row>
    <row r="74" spans="1:30">
      <c r="A74" t="s">
        <v>462</v>
      </c>
      <c r="B74" t="str">
        <f t="shared" si="1"/>
        <v>Unique</v>
      </c>
      <c r="C74" s="3">
        <v>45333</v>
      </c>
      <c r="D74" s="3">
        <v>45329</v>
      </c>
      <c r="E74" t="s">
        <v>465</v>
      </c>
      <c r="F74" t="s">
        <v>25</v>
      </c>
      <c r="G74" t="s">
        <v>115</v>
      </c>
      <c r="H74" t="s">
        <v>62</v>
      </c>
      <c r="I74" t="s">
        <v>339</v>
      </c>
      <c r="J74" t="s">
        <v>340</v>
      </c>
      <c r="K74" t="s">
        <v>45</v>
      </c>
      <c r="L74" t="s">
        <v>46</v>
      </c>
      <c r="M74" t="s">
        <v>466</v>
      </c>
      <c r="N74" t="s">
        <v>56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34</v>
      </c>
      <c r="V74" t="s">
        <v>35</v>
      </c>
      <c r="W74">
        <f>IF(ISBLANK(Q74), 0, IFERROR(VALUE(Q74), 0.7))</f>
        <v>0.15</v>
      </c>
      <c r="X74">
        <f>D74 - C74</f>
        <v>-4</v>
      </c>
      <c r="Y74">
        <f>O74 * P74 * (1 - W74)</f>
        <v>13610.446499999998</v>
      </c>
      <c r="Z74">
        <f>Y74 - S74</f>
        <v>3571.3964999999989</v>
      </c>
      <c r="AA74">
        <f>IFERROR(Z74 / Y74, 0)</f>
        <v>0.26240112695788487</v>
      </c>
      <c r="AB74" t="str">
        <f>TEXT(C74, "mmmm")</f>
        <v>February</v>
      </c>
      <c r="AC74">
        <f>YEAR(C74)</f>
        <v>2024</v>
      </c>
      <c r="AD74" t="str">
        <f>IF(X74&lt;0, "Invalid: Ship Date Before Order Date", IF(W74&lt;0, "Invalid: Negative Discount", IF(W74&gt;0.5, "Invalid: Exceeds Allowed Discount", "OK")))</f>
        <v>Invalid: Ship Date Before Order Date</v>
      </c>
    </row>
    <row r="75" spans="1:30">
      <c r="A75" t="s">
        <v>467</v>
      </c>
      <c r="B75" t="str">
        <f t="shared" si="1"/>
        <v>Unique</v>
      </c>
      <c r="C75" s="3">
        <v>45745</v>
      </c>
      <c r="D75" s="3">
        <v>45750</v>
      </c>
      <c r="E75" t="s">
        <v>470</v>
      </c>
      <c r="F75" t="s">
        <v>168</v>
      </c>
      <c r="G75" t="s">
        <v>108</v>
      </c>
      <c r="H75" t="s">
        <v>42</v>
      </c>
      <c r="I75" t="s">
        <v>121</v>
      </c>
      <c r="J75" t="s">
        <v>122</v>
      </c>
      <c r="K75" t="s">
        <v>45</v>
      </c>
      <c r="L75" t="s">
        <v>204</v>
      </c>
      <c r="M75" t="s">
        <v>471</v>
      </c>
      <c r="N75" t="s">
        <v>56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34</v>
      </c>
      <c r="V75" t="s">
        <v>35</v>
      </c>
      <c r="W75">
        <f>IF(ISBLANK(Q75), 0, IFERROR(VALUE(Q75), 0.7))</f>
        <v>0</v>
      </c>
      <c r="X75">
        <f>D75 - C75</f>
        <v>5</v>
      </c>
      <c r="Y75">
        <f>O75 * P75 * (1 - W75)</f>
        <v>7128.7</v>
      </c>
      <c r="Z75">
        <f>Y75 - S75</f>
        <v>2746.55</v>
      </c>
      <c r="AA75">
        <f>IFERROR(Z75 / Y75, 0)</f>
        <v>0.38528062620113068</v>
      </c>
      <c r="AB75" t="str">
        <f>TEXT(C75, "mmmm")</f>
        <v>March</v>
      </c>
      <c r="AC75">
        <f>YEAR(C75)</f>
        <v>2025</v>
      </c>
      <c r="AD75" t="str">
        <f>IF(X75&lt;0, "Invalid: Ship Date Before Order Date", IF(W75&lt;0, "Invalid: Negative Discount", IF(W75&gt;0.5, "Invalid: Exceeds Allowed Discount", "OK")))</f>
        <v>OK</v>
      </c>
    </row>
    <row r="76" spans="1:30">
      <c r="A76" t="s">
        <v>472</v>
      </c>
      <c r="B76" t="str">
        <f t="shared" si="1"/>
        <v>Unique</v>
      </c>
      <c r="C76" s="3">
        <v>45715</v>
      </c>
      <c r="D76" s="3">
        <v>45717</v>
      </c>
      <c r="E76" t="s">
        <v>475</v>
      </c>
      <c r="F76" t="s">
        <v>83</v>
      </c>
      <c r="G76" t="s">
        <v>41</v>
      </c>
      <c r="H76" t="s">
        <v>42</v>
      </c>
      <c r="I76" t="s">
        <v>121</v>
      </c>
      <c r="J76" t="s">
        <v>122</v>
      </c>
      <c r="K76" t="s">
        <v>45</v>
      </c>
      <c r="L76" t="s">
        <v>76</v>
      </c>
      <c r="M76" t="s">
        <v>476</v>
      </c>
      <c r="N76" t="s">
        <v>67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34</v>
      </c>
      <c r="V76" t="s">
        <v>35</v>
      </c>
      <c r="W76">
        <f>IF(ISBLANK(Q76), 0, IFERROR(VALUE(Q76), 0.7))</f>
        <v>0</v>
      </c>
      <c r="X76">
        <f>D76 - C76</f>
        <v>2</v>
      </c>
      <c r="Y76">
        <f>O76 * P76 * (1 - W76)</f>
        <v>3309.84</v>
      </c>
      <c r="Z76">
        <f>Y76 - S76</f>
        <v>638.76000000000022</v>
      </c>
      <c r="AA76">
        <f>IFERROR(Z76 / Y76, 0)</f>
        <v>0.19298818069755644</v>
      </c>
      <c r="AB76" t="str">
        <f>TEXT(C76, "mmmm")</f>
        <v>February</v>
      </c>
      <c r="AC76">
        <f>YEAR(C76)</f>
        <v>2025</v>
      </c>
      <c r="AD76" t="str">
        <f>IF(X76&lt;0, "Invalid: Ship Date Before Order Date", IF(W76&lt;0, "Invalid: Negative Discount", IF(W76&gt;0.5, "Invalid: Exceeds Allowed Discount", "OK")))</f>
        <v>OK</v>
      </c>
    </row>
    <row r="77" spans="1:30">
      <c r="A77" t="s">
        <v>477</v>
      </c>
      <c r="B77" t="str">
        <f t="shared" si="1"/>
        <v>Unique</v>
      </c>
      <c r="C77" s="3">
        <v>45891</v>
      </c>
      <c r="D77" s="3">
        <v>45896</v>
      </c>
      <c r="E77" t="s">
        <v>480</v>
      </c>
      <c r="F77" t="s">
        <v>142</v>
      </c>
      <c r="G77" t="s">
        <v>41</v>
      </c>
      <c r="H77" t="s">
        <v>42</v>
      </c>
      <c r="I77" t="s">
        <v>43</v>
      </c>
      <c r="J77" t="s">
        <v>44</v>
      </c>
      <c r="K77" t="s">
        <v>30</v>
      </c>
      <c r="L77" t="s">
        <v>109</v>
      </c>
      <c r="M77" t="s">
        <v>481</v>
      </c>
      <c r="N77" t="s">
        <v>56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34</v>
      </c>
      <c r="V77" t="s">
        <v>35</v>
      </c>
      <c r="W77">
        <f>IF(ISBLANK(Q77), 0, IFERROR(VALUE(Q77), 0.7))</f>
        <v>0.2</v>
      </c>
      <c r="X77">
        <f>D77 - C77</f>
        <v>5</v>
      </c>
      <c r="Y77">
        <f>O77 * P77 * (1 - W77)</f>
        <v>7907.5680000000011</v>
      </c>
      <c r="Z77">
        <f>Y77 - S77</f>
        <v>2516.3880000000008</v>
      </c>
      <c r="AA77">
        <f>IFERROR(Z77 / Y77, 0)</f>
        <v>0.31822527482533197</v>
      </c>
      <c r="AB77" t="str">
        <f>TEXT(C77, "mmmm")</f>
        <v>August</v>
      </c>
      <c r="AC77">
        <f>YEAR(C77)</f>
        <v>2025</v>
      </c>
      <c r="AD77" t="str">
        <f>IF(X77&lt;0, "Invalid: Ship Date Before Order Date", IF(W77&lt;0, "Invalid: Negative Discount", IF(W77&gt;0.5, "Invalid: Exceeds Allowed Discount", "OK")))</f>
        <v>OK</v>
      </c>
    </row>
    <row r="78" spans="1:30">
      <c r="A78" t="s">
        <v>482</v>
      </c>
      <c r="B78" t="str">
        <f t="shared" si="1"/>
        <v>Unique</v>
      </c>
      <c r="C78" s="3">
        <v>45599</v>
      </c>
      <c r="D78" s="3">
        <v>45607</v>
      </c>
      <c r="E78" t="s">
        <v>485</v>
      </c>
      <c r="F78" t="s">
        <v>72</v>
      </c>
      <c r="G78" t="s">
        <v>108</v>
      </c>
      <c r="H78" t="s">
        <v>42</v>
      </c>
      <c r="I78" t="s">
        <v>311</v>
      </c>
      <c r="J78" t="s">
        <v>312</v>
      </c>
      <c r="K78" t="s">
        <v>30</v>
      </c>
      <c r="L78" t="s">
        <v>109</v>
      </c>
      <c r="M78" t="s">
        <v>486</v>
      </c>
      <c r="N78" t="s">
        <v>33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34</v>
      </c>
      <c r="V78" t="s">
        <v>35</v>
      </c>
      <c r="W78">
        <f>IF(ISBLANK(Q78), 0, IFERROR(VALUE(Q78), 0.7))</f>
        <v>0</v>
      </c>
      <c r="X78">
        <f>D78 - C78</f>
        <v>8</v>
      </c>
      <c r="Y78">
        <f>O78 * P78 * (1 - W78)</f>
        <v>10218.81</v>
      </c>
      <c r="Z78">
        <f>Y78 - S78</f>
        <v>2601.8399999999992</v>
      </c>
      <c r="AA78">
        <f>IFERROR(Z78 / Y78, 0)</f>
        <v>0.2546128169522674</v>
      </c>
      <c r="AB78" t="str">
        <f>TEXT(C78, "mmmm")</f>
        <v>November</v>
      </c>
      <c r="AC78">
        <f>YEAR(C78)</f>
        <v>2024</v>
      </c>
      <c r="AD78" t="str">
        <f>IF(X78&lt;0, "Invalid: Ship Date Before Order Date", IF(W78&lt;0, "Invalid: Negative Discount", IF(W78&gt;0.5, "Invalid: Exceeds Allowed Discount", "OK")))</f>
        <v>OK</v>
      </c>
    </row>
    <row r="79" spans="1:30">
      <c r="A79" t="s">
        <v>487</v>
      </c>
      <c r="B79" t="str">
        <f t="shared" si="1"/>
        <v>Unique</v>
      </c>
      <c r="C79" s="3">
        <v>45846</v>
      </c>
      <c r="D79" s="3">
        <v>45998</v>
      </c>
      <c r="E79" t="s">
        <v>490</v>
      </c>
      <c r="F79" t="s">
        <v>180</v>
      </c>
      <c r="G79" t="s">
        <v>115</v>
      </c>
      <c r="H79" t="s">
        <v>27</v>
      </c>
      <c r="I79" t="s">
        <v>174</v>
      </c>
      <c r="J79" t="s">
        <v>175</v>
      </c>
      <c r="K79" t="s">
        <v>45</v>
      </c>
      <c r="L79" t="s">
        <v>65</v>
      </c>
      <c r="M79" t="s">
        <v>491</v>
      </c>
      <c r="N79" t="s">
        <v>67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124</v>
      </c>
      <c r="V79" t="s">
        <v>78</v>
      </c>
      <c r="W79">
        <f>IF(ISBLANK(Q79), 0, IFERROR(VALUE(Q79), 0.7))</f>
        <v>0.15</v>
      </c>
      <c r="X79">
        <f>D79 - C79</f>
        <v>152</v>
      </c>
      <c r="Y79">
        <f>O79 * P79 * (1 - W79)</f>
        <v>2194.87</v>
      </c>
      <c r="Z79">
        <f>Y79 - S79</f>
        <v>971.69999999999982</v>
      </c>
      <c r="AA79">
        <f>IFERROR(Z79 / Y79, 0)</f>
        <v>0.44271414707932583</v>
      </c>
      <c r="AB79" t="str">
        <f>TEXT(C79, "mmmm")</f>
        <v>July</v>
      </c>
      <c r="AC79">
        <f>YEAR(C79)</f>
        <v>2025</v>
      </c>
      <c r="AD79" t="str">
        <f>IF(X79&lt;0, "Invalid: Ship Date Before Order Date", IF(W79&lt;0, "Invalid: Negative Discount", IF(W79&gt;0.5, "Invalid: Exceeds Allowed Discount", "OK")))</f>
        <v>OK</v>
      </c>
    </row>
    <row r="80" spans="1:30">
      <c r="A80" t="s">
        <v>492</v>
      </c>
      <c r="B80" t="str">
        <f t="shared" si="1"/>
        <v>Unique</v>
      </c>
      <c r="C80" s="3">
        <v>45854</v>
      </c>
      <c r="D80" s="3">
        <v>45859</v>
      </c>
      <c r="E80" t="s">
        <v>495</v>
      </c>
      <c r="F80" t="s">
        <v>168</v>
      </c>
      <c r="G80" t="s">
        <v>108</v>
      </c>
      <c r="H80" t="s">
        <v>42</v>
      </c>
      <c r="I80" t="s">
        <v>121</v>
      </c>
      <c r="J80" t="s">
        <v>122</v>
      </c>
      <c r="K80" t="s">
        <v>45</v>
      </c>
      <c r="L80" t="s">
        <v>46</v>
      </c>
      <c r="M80" t="s">
        <v>496</v>
      </c>
      <c r="N80" t="s">
        <v>56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34</v>
      </c>
      <c r="V80" t="s">
        <v>35</v>
      </c>
      <c r="W80">
        <f>IF(ISBLANK(Q80), 0, IFERROR(VALUE(Q80), 0.7))</f>
        <v>0.15</v>
      </c>
      <c r="X80">
        <f>D80 - C80</f>
        <v>5</v>
      </c>
      <c r="Y80">
        <f>O80 * P80 * (1 - W80)</f>
        <v>9050.4175000000014</v>
      </c>
      <c r="Z80">
        <f>Y80 - S80</f>
        <v>2271.567500000001</v>
      </c>
      <c r="AA80">
        <f>IFERROR(Z80 / Y80, 0)</f>
        <v>0.25099035486484472</v>
      </c>
      <c r="AB80" t="str">
        <f>TEXT(C80, "mmmm")</f>
        <v>July</v>
      </c>
      <c r="AC80">
        <f>YEAR(C80)</f>
        <v>2025</v>
      </c>
      <c r="AD80" t="str">
        <f>IF(X80&lt;0, "Invalid: Ship Date Before Order Date", IF(W80&lt;0, "Invalid: Negative Discount", IF(W80&gt;0.5, "Invalid: Exceeds Allowed Discount", "OK")))</f>
        <v>OK</v>
      </c>
    </row>
    <row r="81" spans="1:30">
      <c r="A81" t="s">
        <v>497</v>
      </c>
      <c r="B81" t="str">
        <f t="shared" si="1"/>
        <v>Unique</v>
      </c>
      <c r="C81" s="3">
        <v>45927</v>
      </c>
      <c r="D81" s="3">
        <v>45933</v>
      </c>
      <c r="E81" t="s">
        <v>500</v>
      </c>
      <c r="F81" t="s">
        <v>210</v>
      </c>
      <c r="G81" t="s">
        <v>115</v>
      </c>
      <c r="H81" t="s">
        <v>62</v>
      </c>
      <c r="I81" t="s">
        <v>339</v>
      </c>
      <c r="J81" t="s">
        <v>340</v>
      </c>
      <c r="K81" t="s">
        <v>45</v>
      </c>
      <c r="L81" t="s">
        <v>76</v>
      </c>
      <c r="M81" t="s">
        <v>501</v>
      </c>
      <c r="N81" t="s">
        <v>48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34</v>
      </c>
      <c r="V81" t="s">
        <v>35</v>
      </c>
      <c r="W81">
        <f>IF(ISBLANK(Q81), 0, IFERROR(VALUE(Q81), 0.7))</f>
        <v>0.1</v>
      </c>
      <c r="X81">
        <f>D81 - C81</f>
        <v>6</v>
      </c>
      <c r="Y81">
        <f>O81 * P81 * (1 - W81)</f>
        <v>33465.312000000005</v>
      </c>
      <c r="Z81">
        <f>Y81 - S81</f>
        <v>8684.052000000007</v>
      </c>
      <c r="AA81">
        <f>IFERROR(Z81 / Y81, 0)</f>
        <v>0.25949412932411942</v>
      </c>
      <c r="AB81" t="str">
        <f>TEXT(C81, "mmmm")</f>
        <v>September</v>
      </c>
      <c r="AC81">
        <f>YEAR(C81)</f>
        <v>2025</v>
      </c>
      <c r="AD81" t="str">
        <f>IF(X81&lt;0, "Invalid: Ship Date Before Order Date", IF(W81&lt;0, "Invalid: Negative Discount", IF(W81&gt;0.5, "Invalid: Exceeds Allowed Discount", "OK")))</f>
        <v>OK</v>
      </c>
    </row>
    <row r="82" spans="1:30">
      <c r="A82" t="s">
        <v>502</v>
      </c>
      <c r="B82" t="str">
        <f t="shared" si="1"/>
        <v>Unique</v>
      </c>
      <c r="C82" s="3">
        <v>45514</v>
      </c>
      <c r="D82" s="3">
        <v>45518</v>
      </c>
      <c r="E82" t="s">
        <v>505</v>
      </c>
      <c r="F82" t="s">
        <v>162</v>
      </c>
      <c r="G82" t="s">
        <v>41</v>
      </c>
      <c r="H82" t="s">
        <v>27</v>
      </c>
      <c r="I82" t="s">
        <v>506</v>
      </c>
      <c r="J82" t="s">
        <v>507</v>
      </c>
      <c r="K82" t="s">
        <v>30</v>
      </c>
      <c r="L82" t="s">
        <v>156</v>
      </c>
      <c r="M82" t="s">
        <v>508</v>
      </c>
      <c r="N82" t="s">
        <v>33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137</v>
      </c>
      <c r="V82" t="s">
        <v>125</v>
      </c>
      <c r="W82">
        <f>IF(ISBLANK(Q82), 0, IFERROR(VALUE(Q82), 0.7))</f>
        <v>0.1</v>
      </c>
      <c r="X82">
        <f>D82 - C82</f>
        <v>4</v>
      </c>
      <c r="Y82">
        <f>O82 * P82 * (1 - W82)</f>
        <v>4256.3519999999999</v>
      </c>
      <c r="Z82">
        <f>Y82 - S82</f>
        <v>1761.0219999999999</v>
      </c>
      <c r="AA82">
        <f>IFERROR(Z82 / Y82, 0)</f>
        <v>0.41373974708858663</v>
      </c>
      <c r="AB82" t="str">
        <f>TEXT(C82, "mmmm")</f>
        <v>August</v>
      </c>
      <c r="AC82">
        <f>YEAR(C82)</f>
        <v>2024</v>
      </c>
      <c r="AD82" t="str">
        <f>IF(X82&lt;0, "Invalid: Ship Date Before Order Date", IF(W82&lt;0, "Invalid: Negative Discount", IF(W82&gt;0.5, "Invalid: Exceeds Allowed Discount", "OK")))</f>
        <v>OK</v>
      </c>
    </row>
    <row r="83" spans="1:30">
      <c r="A83" t="s">
        <v>509</v>
      </c>
      <c r="B83" t="str">
        <f t="shared" si="1"/>
        <v>Unique</v>
      </c>
      <c r="C83" s="3">
        <v>45732</v>
      </c>
      <c r="D83" s="3">
        <v>45733</v>
      </c>
      <c r="E83" t="s">
        <v>512</v>
      </c>
      <c r="F83" t="s">
        <v>25</v>
      </c>
      <c r="G83" t="s">
        <v>115</v>
      </c>
      <c r="H83" t="s">
        <v>73</v>
      </c>
      <c r="I83" t="s">
        <v>249</v>
      </c>
      <c r="J83" t="s">
        <v>250</v>
      </c>
      <c r="K83" t="s">
        <v>30</v>
      </c>
      <c r="L83" t="s">
        <v>109</v>
      </c>
      <c r="M83" t="s">
        <v>513</v>
      </c>
      <c r="N83" t="s">
        <v>48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34</v>
      </c>
      <c r="V83" t="s">
        <v>35</v>
      </c>
      <c r="W83">
        <f>IF(ISBLANK(Q83), 0, IFERROR(VALUE(Q83), 0.7))</f>
        <v>0</v>
      </c>
      <c r="X83">
        <f>D83 - C83</f>
        <v>1</v>
      </c>
      <c r="Y83">
        <f>O83 * P83 * (1 - W83)</f>
        <v>5525.7300000000005</v>
      </c>
      <c r="Z83">
        <f>Y83 - S83</f>
        <v>2432.3100000000004</v>
      </c>
      <c r="AA83">
        <f>IFERROR(Z83 / Y83, 0)</f>
        <v>0.44017894468242208</v>
      </c>
      <c r="AB83" t="str">
        <f>TEXT(C83, "mmmm")</f>
        <v>March</v>
      </c>
      <c r="AC83">
        <f>YEAR(C83)</f>
        <v>2025</v>
      </c>
      <c r="AD83" t="str">
        <f>IF(X83&lt;0, "Invalid: Ship Date Before Order Date", IF(W83&lt;0, "Invalid: Negative Discount", IF(W83&gt;0.5, "Invalid: Exceeds Allowed Discount", "OK")))</f>
        <v>OK</v>
      </c>
    </row>
    <row r="84" spans="1:30">
      <c r="A84" t="s">
        <v>514</v>
      </c>
      <c r="B84" t="str">
        <f t="shared" si="1"/>
        <v>Unique</v>
      </c>
      <c r="C84" s="3">
        <v>45507</v>
      </c>
      <c r="D84" s="3">
        <v>45390</v>
      </c>
      <c r="E84" t="s">
        <v>517</v>
      </c>
      <c r="F84" t="s">
        <v>61</v>
      </c>
      <c r="G84" t="s">
        <v>26</v>
      </c>
      <c r="H84" t="s">
        <v>27</v>
      </c>
      <c r="I84" t="s">
        <v>174</v>
      </c>
      <c r="J84" t="s">
        <v>175</v>
      </c>
      <c r="K84" t="s">
        <v>86</v>
      </c>
      <c r="L84" t="s">
        <v>94</v>
      </c>
      <c r="M84" t="s">
        <v>518</v>
      </c>
      <c r="N84" t="s">
        <v>33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200</v>
      </c>
      <c r="V84" t="s">
        <v>125</v>
      </c>
      <c r="W84">
        <f>IF(ISBLANK(Q84), 0, IFERROR(VALUE(Q84), 0.7))</f>
        <v>0</v>
      </c>
      <c r="X84">
        <f>D84 - C84</f>
        <v>-117</v>
      </c>
      <c r="Y84">
        <f>O84 * P84 * (1 - W84)</f>
        <v>6010.38</v>
      </c>
      <c r="Z84">
        <f>Y84 - S84</f>
        <v>2247.5300000000002</v>
      </c>
      <c r="AA84">
        <f>IFERROR(Z84 / Y84, 0)</f>
        <v>0.37394141468592673</v>
      </c>
      <c r="AB84" t="str">
        <f>TEXT(C84, "mmmm")</f>
        <v>August</v>
      </c>
      <c r="AC84">
        <f>YEAR(C84)</f>
        <v>2024</v>
      </c>
      <c r="AD84" t="str">
        <f>IF(X84&lt;0, "Invalid: Ship Date Before Order Date", IF(W84&lt;0, "Invalid: Negative Discount", IF(W84&gt;0.5, "Invalid: Exceeds Allowed Discount", "OK")))</f>
        <v>Invalid: Ship Date Before Order Date</v>
      </c>
    </row>
    <row r="85" spans="1:30">
      <c r="A85" t="s">
        <v>519</v>
      </c>
      <c r="B85" t="str">
        <f t="shared" si="1"/>
        <v>Unique</v>
      </c>
      <c r="C85" s="3">
        <v>45591</v>
      </c>
      <c r="D85" s="3">
        <v>45594</v>
      </c>
      <c r="E85" t="s">
        <v>521</v>
      </c>
      <c r="F85" t="s">
        <v>107</v>
      </c>
      <c r="G85" t="s">
        <v>115</v>
      </c>
      <c r="H85" t="s">
        <v>73</v>
      </c>
      <c r="I85" t="s">
        <v>74</v>
      </c>
      <c r="J85" t="s">
        <v>75</v>
      </c>
      <c r="K85" t="s">
        <v>45</v>
      </c>
      <c r="L85" t="s">
        <v>46</v>
      </c>
      <c r="M85" t="s">
        <v>522</v>
      </c>
      <c r="N85" t="s">
        <v>33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34</v>
      </c>
      <c r="V85" t="s">
        <v>35</v>
      </c>
      <c r="W85">
        <f>IF(ISBLANK(Q85), 0, IFERROR(VALUE(Q85), 0.7))</f>
        <v>0.2</v>
      </c>
      <c r="X85">
        <f>D85 - C85</f>
        <v>3</v>
      </c>
      <c r="Y85">
        <f>O85 * P85 * (1 - W85)</f>
        <v>948.52800000000013</v>
      </c>
      <c r="Z85">
        <f>Y85 - S85</f>
        <v>273.90800000000013</v>
      </c>
      <c r="AA85">
        <f>IFERROR(Z85 / Y85, 0)</f>
        <v>0.28877165460587362</v>
      </c>
      <c r="AB85" t="str">
        <f>TEXT(C85, "mmmm")</f>
        <v>October</v>
      </c>
      <c r="AC85">
        <f>YEAR(C85)</f>
        <v>2024</v>
      </c>
      <c r="AD85" t="str">
        <f>IF(X85&lt;0, "Invalid: Ship Date Before Order Date", IF(W85&lt;0, "Invalid: Negative Discount", IF(W85&gt;0.5, "Invalid: Exceeds Allowed Discount", "OK")))</f>
        <v>OK</v>
      </c>
    </row>
    <row r="86" spans="1:30">
      <c r="A86" t="s">
        <v>523</v>
      </c>
      <c r="B86" t="str">
        <f t="shared" si="1"/>
        <v>Unique</v>
      </c>
      <c r="C86" s="3">
        <v>45566</v>
      </c>
      <c r="D86" s="3">
        <v>45568</v>
      </c>
      <c r="E86" t="s">
        <v>526</v>
      </c>
      <c r="F86" t="s">
        <v>180</v>
      </c>
      <c r="G86" t="s">
        <v>108</v>
      </c>
      <c r="H86" t="s">
        <v>62</v>
      </c>
      <c r="I86" t="s">
        <v>339</v>
      </c>
      <c r="J86" t="s">
        <v>340</v>
      </c>
      <c r="K86" t="s">
        <v>86</v>
      </c>
      <c r="L86" t="s">
        <v>223</v>
      </c>
      <c r="M86" t="s">
        <v>527</v>
      </c>
      <c r="N86" t="s">
        <v>33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34</v>
      </c>
      <c r="V86" t="s">
        <v>35</v>
      </c>
      <c r="W86">
        <f>IF(ISBLANK(Q86), 0, IFERROR(VALUE(Q86), 0.7))</f>
        <v>0.2</v>
      </c>
      <c r="X86">
        <f>D86 - C86</f>
        <v>2</v>
      </c>
      <c r="Y86">
        <f>O86 * P86 * (1 - W86)</f>
        <v>2737.3440000000001</v>
      </c>
      <c r="Z86">
        <f>Y86 - S86</f>
        <v>651.904</v>
      </c>
      <c r="AA86">
        <f>IFERROR(Z86 / Y86, 0)</f>
        <v>0.23815201889130486</v>
      </c>
      <c r="AB86" t="str">
        <f>TEXT(C86, "mmmm")</f>
        <v>October</v>
      </c>
      <c r="AC86">
        <f>YEAR(C86)</f>
        <v>2024</v>
      </c>
      <c r="AD86" t="str">
        <f>IF(X86&lt;0, "Invalid: Ship Date Before Order Date", IF(W86&lt;0, "Invalid: Negative Discount", IF(W86&gt;0.5, "Invalid: Exceeds Allowed Discount", "OK")))</f>
        <v>OK</v>
      </c>
    </row>
    <row r="87" spans="1:30">
      <c r="A87" t="s">
        <v>528</v>
      </c>
      <c r="B87" t="str">
        <f t="shared" si="1"/>
        <v>Unique</v>
      </c>
      <c r="C87" s="3">
        <v>45503</v>
      </c>
      <c r="D87" s="3">
        <v>45509</v>
      </c>
      <c r="E87" t="s">
        <v>531</v>
      </c>
      <c r="F87" t="s">
        <v>366</v>
      </c>
      <c r="G87" t="s">
        <v>108</v>
      </c>
      <c r="H87" t="s">
        <v>27</v>
      </c>
      <c r="I87" t="s">
        <v>506</v>
      </c>
      <c r="J87" t="s">
        <v>507</v>
      </c>
      <c r="K87" t="s">
        <v>30</v>
      </c>
      <c r="L87" t="s">
        <v>198</v>
      </c>
      <c r="M87" t="s">
        <v>532</v>
      </c>
      <c r="N87" t="s">
        <v>67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34</v>
      </c>
      <c r="V87" t="s">
        <v>78</v>
      </c>
      <c r="W87">
        <f>IF(ISBLANK(Q87), 0, IFERROR(VALUE(Q87), 0.7))</f>
        <v>0</v>
      </c>
      <c r="X87">
        <f>D87 - C87</f>
        <v>6</v>
      </c>
      <c r="Y87">
        <f>O87 * P87 * (1 - W87)</f>
        <v>608.64</v>
      </c>
      <c r="Z87">
        <f>Y87 - S87</f>
        <v>264.64999999999998</v>
      </c>
      <c r="AA87">
        <f>IFERROR(Z87 / Y87, 0)</f>
        <v>0.43482189800210302</v>
      </c>
      <c r="AB87" t="str">
        <f>TEXT(C87, "mmmm")</f>
        <v>July</v>
      </c>
      <c r="AC87">
        <f>YEAR(C87)</f>
        <v>2024</v>
      </c>
      <c r="AD87" t="str">
        <f>IF(X87&lt;0, "Invalid: Ship Date Before Order Date", IF(W87&lt;0, "Invalid: Negative Discount", IF(W87&gt;0.5, "Invalid: Exceeds Allowed Discount", "OK")))</f>
        <v>OK</v>
      </c>
    </row>
    <row r="88" spans="1:30">
      <c r="A88" t="s">
        <v>533</v>
      </c>
      <c r="B88" t="str">
        <f t="shared" si="1"/>
        <v>Unique</v>
      </c>
      <c r="C88" s="3">
        <v>45474</v>
      </c>
      <c r="D88" s="3">
        <v>45474</v>
      </c>
      <c r="E88" t="s">
        <v>535</v>
      </c>
      <c r="F88" t="s">
        <v>72</v>
      </c>
      <c r="G88" t="s">
        <v>41</v>
      </c>
      <c r="H88" t="s">
        <v>27</v>
      </c>
      <c r="I88" t="s">
        <v>506</v>
      </c>
      <c r="J88" t="s">
        <v>507</v>
      </c>
      <c r="K88" t="s">
        <v>86</v>
      </c>
      <c r="L88" t="s">
        <v>94</v>
      </c>
      <c r="M88" t="s">
        <v>536</v>
      </c>
      <c r="N88" t="s">
        <v>33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124</v>
      </c>
      <c r="V88" t="s">
        <v>78</v>
      </c>
      <c r="W88">
        <f>IF(ISBLANK(Q88), 0, IFERROR(VALUE(Q88), 0.7))</f>
        <v>0.1</v>
      </c>
      <c r="X88">
        <f>D88 - C88</f>
        <v>0</v>
      </c>
      <c r="Y88">
        <f>O88 * P88 * (1 - W88)</f>
        <v>2390.2560000000003</v>
      </c>
      <c r="Z88">
        <f>Y88 - S88</f>
        <v>894.31600000000026</v>
      </c>
      <c r="AA88">
        <f>IFERROR(Z88 / Y88, 0)</f>
        <v>0.37415071858411825</v>
      </c>
      <c r="AB88" t="str">
        <f>TEXT(C88, "mmmm")</f>
        <v>July</v>
      </c>
      <c r="AC88">
        <f>YEAR(C88)</f>
        <v>2024</v>
      </c>
      <c r="AD88" t="str">
        <f>IF(X88&lt;0, "Invalid: Ship Date Before Order Date", IF(W88&lt;0, "Invalid: Negative Discount", IF(W88&gt;0.5, "Invalid: Exceeds Allowed Discount", "OK")))</f>
        <v>OK</v>
      </c>
    </row>
    <row r="89" spans="1:30">
      <c r="A89" t="s">
        <v>537</v>
      </c>
      <c r="B89" t="str">
        <f t="shared" si="1"/>
        <v>Unique</v>
      </c>
      <c r="C89" s="3">
        <v>45330</v>
      </c>
      <c r="D89" s="3">
        <v>45507</v>
      </c>
      <c r="E89" t="s">
        <v>539</v>
      </c>
      <c r="F89" t="s">
        <v>83</v>
      </c>
      <c r="G89" t="s">
        <v>26</v>
      </c>
      <c r="H89" t="s">
        <v>42</v>
      </c>
      <c r="I89" t="s">
        <v>216</v>
      </c>
      <c r="J89" t="s">
        <v>217</v>
      </c>
      <c r="K89" t="s">
        <v>30</v>
      </c>
      <c r="L89" t="s">
        <v>198</v>
      </c>
      <c r="M89" t="s">
        <v>540</v>
      </c>
      <c r="N89" t="s">
        <v>67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34</v>
      </c>
      <c r="V89" t="s">
        <v>35</v>
      </c>
      <c r="W89">
        <f>IF(ISBLANK(Q89), 0, IFERROR(VALUE(Q89), 0.7))</f>
        <v>0</v>
      </c>
      <c r="X89">
        <f>D89 - C89</f>
        <v>177</v>
      </c>
      <c r="Y89">
        <f>O89 * P89 * (1 - W89)</f>
        <v>23416.539999999997</v>
      </c>
      <c r="Z89">
        <f>Y89 - S89</f>
        <v>7925.6499999999978</v>
      </c>
      <c r="AA89">
        <f>IFERROR(Z89 / Y89, 0)</f>
        <v>0.33846375254414185</v>
      </c>
      <c r="AB89" t="str">
        <f>TEXT(C89, "mmmm")</f>
        <v>February</v>
      </c>
      <c r="AC89">
        <f>YEAR(C89)</f>
        <v>2024</v>
      </c>
      <c r="AD89" t="str">
        <f>IF(X89&lt;0, "Invalid: Ship Date Before Order Date", IF(W89&lt;0, "Invalid: Negative Discount", IF(W89&gt;0.5, "Invalid: Exceeds Allowed Discount", "OK")))</f>
        <v>OK</v>
      </c>
    </row>
    <row r="90" spans="1:30">
      <c r="A90" t="s">
        <v>541</v>
      </c>
      <c r="B90" t="str">
        <f t="shared" si="1"/>
        <v>Unique</v>
      </c>
      <c r="C90" s="3">
        <v>45375</v>
      </c>
      <c r="D90" s="3">
        <v>45378</v>
      </c>
      <c r="E90" t="s">
        <v>544</v>
      </c>
      <c r="F90" t="s">
        <v>180</v>
      </c>
      <c r="G90" t="s">
        <v>41</v>
      </c>
      <c r="H90" t="s">
        <v>73</v>
      </c>
      <c r="I90" t="s">
        <v>74</v>
      </c>
      <c r="J90" t="s">
        <v>75</v>
      </c>
      <c r="K90" t="s">
        <v>45</v>
      </c>
      <c r="L90" t="s">
        <v>204</v>
      </c>
      <c r="M90" t="s">
        <v>545</v>
      </c>
      <c r="N90" t="s">
        <v>67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34</v>
      </c>
      <c r="V90" t="s">
        <v>35</v>
      </c>
      <c r="W90">
        <f>IF(ISBLANK(Q90), 0, IFERROR(VALUE(Q90), 0.7))</f>
        <v>0.05</v>
      </c>
      <c r="X90">
        <f>D90 - C90</f>
        <v>3</v>
      </c>
      <c r="Y90">
        <f>O90 * P90 * (1 - W90)</f>
        <v>6241.0249999999996</v>
      </c>
      <c r="Z90">
        <f>Y90 - S90</f>
        <v>895.14499999999953</v>
      </c>
      <c r="AA90">
        <f>IFERROR(Z90 / Y90, 0)</f>
        <v>0.14342916427990587</v>
      </c>
      <c r="AB90" t="str">
        <f>TEXT(C90, "mmmm")</f>
        <v>March</v>
      </c>
      <c r="AC90">
        <f>YEAR(C90)</f>
        <v>2024</v>
      </c>
      <c r="AD90" t="str">
        <f>IF(X90&lt;0, "Invalid: Ship Date Before Order Date", IF(W90&lt;0, "Invalid: Negative Discount", IF(W90&gt;0.5, "Invalid: Exceeds Allowed Discount", "OK")))</f>
        <v>OK</v>
      </c>
    </row>
    <row r="91" spans="1:30">
      <c r="A91" t="s">
        <v>546</v>
      </c>
      <c r="B91" t="str">
        <f t="shared" si="1"/>
        <v>Unique</v>
      </c>
      <c r="C91" s="3">
        <v>45540</v>
      </c>
      <c r="D91" s="3">
        <v>45540</v>
      </c>
      <c r="E91" t="s">
        <v>547</v>
      </c>
      <c r="F91" t="s">
        <v>366</v>
      </c>
      <c r="G91" t="s">
        <v>26</v>
      </c>
      <c r="H91" t="s">
        <v>62</v>
      </c>
      <c r="I91" t="s">
        <v>100</v>
      </c>
      <c r="J91" t="s">
        <v>101</v>
      </c>
      <c r="K91" t="s">
        <v>45</v>
      </c>
      <c r="L91" t="s">
        <v>204</v>
      </c>
      <c r="M91" t="s">
        <v>548</v>
      </c>
      <c r="N91" t="s">
        <v>67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137</v>
      </c>
      <c r="V91" t="s">
        <v>78</v>
      </c>
      <c r="W91">
        <f>IF(ISBLANK(Q91), 0, IFERROR(VALUE(Q91), 0.7))</f>
        <v>0.2</v>
      </c>
      <c r="X91">
        <f>D91 - C91</f>
        <v>0</v>
      </c>
      <c r="Y91">
        <f>O91 * P91 * (1 - W91)</f>
        <v>21062.104000000003</v>
      </c>
      <c r="Z91">
        <f>Y91 - S91</f>
        <v>9004.9740000000038</v>
      </c>
      <c r="AA91">
        <f>IFERROR(Z91 / Y91, 0)</f>
        <v>0.42754389589947911</v>
      </c>
      <c r="AB91" t="str">
        <f>TEXT(C91, "mmmm")</f>
        <v>September</v>
      </c>
      <c r="AC91">
        <f>YEAR(C91)</f>
        <v>2024</v>
      </c>
      <c r="AD91" t="str">
        <f>IF(X91&lt;0, "Invalid: Ship Date Before Order Date", IF(W91&lt;0, "Invalid: Negative Discount", IF(W91&gt;0.5, "Invalid: Exceeds Allowed Discount", "OK")))</f>
        <v>OK</v>
      </c>
    </row>
    <row r="92" spans="1:30">
      <c r="A92" t="s">
        <v>549</v>
      </c>
      <c r="B92" t="str">
        <f t="shared" si="1"/>
        <v>Review: Duplicate Order ID</v>
      </c>
      <c r="C92" s="3">
        <v>45893</v>
      </c>
      <c r="D92" s="3">
        <v>45898</v>
      </c>
      <c r="E92" t="s">
        <v>551</v>
      </c>
      <c r="F92" t="s">
        <v>162</v>
      </c>
      <c r="G92" t="s">
        <v>41</v>
      </c>
      <c r="H92" t="s">
        <v>42</v>
      </c>
      <c r="I92" t="s">
        <v>186</v>
      </c>
      <c r="J92" t="s">
        <v>187</v>
      </c>
      <c r="K92" t="s">
        <v>86</v>
      </c>
      <c r="L92" t="s">
        <v>94</v>
      </c>
      <c r="M92" t="s">
        <v>552</v>
      </c>
      <c r="N92" t="s">
        <v>56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34</v>
      </c>
      <c r="V92" t="s">
        <v>35</v>
      </c>
      <c r="W92">
        <f>IF(ISBLANK(Q92), 0, IFERROR(VALUE(Q92), 0.7))</f>
        <v>0.15</v>
      </c>
      <c r="X92">
        <f>D92 - C92</f>
        <v>5</v>
      </c>
      <c r="Y92">
        <f>O92 * P92 * (1 - W92)</f>
        <v>9445.098</v>
      </c>
      <c r="Z92">
        <f>Y92 - S92</f>
        <v>3858.8180000000002</v>
      </c>
      <c r="AA92">
        <f>IFERROR(Z92 / Y92, 0)</f>
        <v>0.40855245758170006</v>
      </c>
      <c r="AB92" t="str">
        <f>TEXT(C92, "mmmm")</f>
        <v>August</v>
      </c>
      <c r="AC92">
        <f>YEAR(C92)</f>
        <v>2025</v>
      </c>
      <c r="AD92" t="str">
        <f>IF(X92&lt;0, "Invalid: Ship Date Before Order Date", IF(W92&lt;0, "Invalid: Negative Discount", IF(W92&gt;0.5, "Invalid: Exceeds Allowed Discount", "OK")))</f>
        <v>OK</v>
      </c>
    </row>
    <row r="93" spans="1:30">
      <c r="A93" t="s">
        <v>553</v>
      </c>
      <c r="B93" t="str">
        <f t="shared" si="1"/>
        <v>Unique</v>
      </c>
      <c r="C93" s="3">
        <v>45691</v>
      </c>
      <c r="D93" s="3">
        <v>45724</v>
      </c>
      <c r="E93" t="s">
        <v>556</v>
      </c>
      <c r="F93" t="s">
        <v>168</v>
      </c>
      <c r="G93" t="s">
        <v>108</v>
      </c>
      <c r="H93" t="s">
        <v>73</v>
      </c>
      <c r="I93" t="s">
        <v>84</v>
      </c>
      <c r="J93" t="s">
        <v>85</v>
      </c>
      <c r="K93" t="s">
        <v>86</v>
      </c>
      <c r="L93" t="s">
        <v>94</v>
      </c>
      <c r="M93" t="s">
        <v>557</v>
      </c>
      <c r="N93" t="s">
        <v>33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34</v>
      </c>
      <c r="V93" t="s">
        <v>35</v>
      </c>
      <c r="W93">
        <f>IF(ISBLANK(Q93), 0, IFERROR(VALUE(Q93), 0.7))</f>
        <v>0</v>
      </c>
      <c r="X93">
        <f>D93 - C93</f>
        <v>33</v>
      </c>
      <c r="Y93">
        <f>O93 * P93 * (1 - W93)</f>
        <v>2427.12</v>
      </c>
      <c r="Z93">
        <f>Y93 - S93</f>
        <v>888.77</v>
      </c>
      <c r="AA93">
        <f>IFERROR(Z93 / Y93, 0)</f>
        <v>0.36618296581957216</v>
      </c>
      <c r="AB93" t="str">
        <f>TEXT(C93, "mmmm")</f>
        <v>February</v>
      </c>
      <c r="AC93">
        <f>YEAR(C93)</f>
        <v>2025</v>
      </c>
      <c r="AD93" t="str">
        <f>IF(X93&lt;0, "Invalid: Ship Date Before Order Date", IF(W93&lt;0, "Invalid: Negative Discount", IF(W93&gt;0.5, "Invalid: Exceeds Allowed Discount", "OK")))</f>
        <v>OK</v>
      </c>
    </row>
    <row r="94" spans="1:30">
      <c r="A94" t="s">
        <v>558</v>
      </c>
      <c r="B94" t="str">
        <f t="shared" si="1"/>
        <v>Unique</v>
      </c>
      <c r="C94" s="3">
        <v>45680</v>
      </c>
      <c r="D94" s="3">
        <v>45683</v>
      </c>
      <c r="E94" t="s">
        <v>560</v>
      </c>
      <c r="F94" t="s">
        <v>162</v>
      </c>
      <c r="G94" t="s">
        <v>26</v>
      </c>
      <c r="H94" t="s">
        <v>73</v>
      </c>
      <c r="I94" t="s">
        <v>84</v>
      </c>
      <c r="J94" t="s">
        <v>85</v>
      </c>
      <c r="K94" t="s">
        <v>30</v>
      </c>
      <c r="L94" t="s">
        <v>31</v>
      </c>
      <c r="M94" t="s">
        <v>561</v>
      </c>
      <c r="N94" t="s">
        <v>67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34</v>
      </c>
      <c r="V94" t="s">
        <v>35</v>
      </c>
      <c r="W94">
        <f>IF(ISBLANK(Q94), 0, IFERROR(VALUE(Q94), 0.7))</f>
        <v>0.1</v>
      </c>
      <c r="X94">
        <f>D94 - C94</f>
        <v>3</v>
      </c>
      <c r="Y94">
        <f>O94 * P94 * (1 - W94)</f>
        <v>36111.906000000003</v>
      </c>
      <c r="Z94">
        <f>Y94 - S94</f>
        <v>6917.4060000000027</v>
      </c>
      <c r="AA94">
        <f>IFERROR(Z94 / Y94, 0)</f>
        <v>0.19155471882320479</v>
      </c>
      <c r="AB94" t="str">
        <f>TEXT(C94, "mmmm")</f>
        <v>January</v>
      </c>
      <c r="AC94">
        <f>YEAR(C94)</f>
        <v>2025</v>
      </c>
      <c r="AD94" t="str">
        <f>IF(X94&lt;0, "Invalid: Ship Date Before Order Date", IF(W94&lt;0, "Invalid: Negative Discount", IF(W94&gt;0.5, "Invalid: Exceeds Allowed Discount", "OK")))</f>
        <v>OK</v>
      </c>
    </row>
    <row r="95" spans="1:30">
      <c r="A95" t="s">
        <v>562</v>
      </c>
      <c r="B95" t="str">
        <f t="shared" si="1"/>
        <v>Unique</v>
      </c>
      <c r="C95" s="3">
        <v>45298</v>
      </c>
      <c r="D95" s="3">
        <v>45304</v>
      </c>
      <c r="E95" t="s">
        <v>564</v>
      </c>
      <c r="F95" t="s">
        <v>180</v>
      </c>
      <c r="G95" t="s">
        <v>108</v>
      </c>
      <c r="H95" t="s">
        <v>27</v>
      </c>
      <c r="I95" t="s">
        <v>174</v>
      </c>
      <c r="J95" t="s">
        <v>175</v>
      </c>
      <c r="K95" t="s">
        <v>30</v>
      </c>
      <c r="L95" t="s">
        <v>198</v>
      </c>
      <c r="M95" t="s">
        <v>565</v>
      </c>
      <c r="N95" t="s">
        <v>67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34</v>
      </c>
      <c r="V95" t="s">
        <v>35</v>
      </c>
      <c r="W95">
        <f>IF(ISBLANK(Q95), 0, IFERROR(VALUE(Q95), 0.7))</f>
        <v>-0.09</v>
      </c>
      <c r="X95">
        <f>D95 - C95</f>
        <v>6</v>
      </c>
      <c r="Y95">
        <f>O95 * P95 * (1 - W95)</f>
        <v>21279.841099999998</v>
      </c>
      <c r="Z95">
        <f>Y95 - S95</f>
        <v>8824.0610999999972</v>
      </c>
      <c r="AA95">
        <f>IFERROR(Z95 / Y95, 0)</f>
        <v>0.41466762174272054</v>
      </c>
      <c r="AB95" t="str">
        <f>TEXT(C95, "mmmm")</f>
        <v>January</v>
      </c>
      <c r="AC95">
        <f>YEAR(C95)</f>
        <v>2024</v>
      </c>
      <c r="AD95" t="str">
        <f>IF(X95&lt;0, "Invalid: Ship Date Before Order Date", IF(W95&lt;0, "Invalid: Negative Discount", IF(W95&gt;0.5, "Invalid: Exceeds Allowed Discount", "OK")))</f>
        <v>Invalid: Negative Discount</v>
      </c>
    </row>
    <row r="96" spans="1:30">
      <c r="A96" t="s">
        <v>566</v>
      </c>
      <c r="B96" t="str">
        <f t="shared" si="1"/>
        <v>Unique</v>
      </c>
      <c r="C96" s="3">
        <v>45541</v>
      </c>
      <c r="D96" s="3">
        <v>45544</v>
      </c>
      <c r="E96" t="s">
        <v>569</v>
      </c>
      <c r="F96" t="s">
        <v>210</v>
      </c>
      <c r="G96" t="s">
        <v>26</v>
      </c>
      <c r="H96" t="s">
        <v>27</v>
      </c>
      <c r="I96" t="s">
        <v>323</v>
      </c>
      <c r="J96" t="s">
        <v>324</v>
      </c>
      <c r="K96" t="s">
        <v>86</v>
      </c>
      <c r="L96" t="s">
        <v>223</v>
      </c>
      <c r="M96" t="s">
        <v>570</v>
      </c>
      <c r="N96" t="s">
        <v>33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137</v>
      </c>
      <c r="V96" t="s">
        <v>78</v>
      </c>
      <c r="W96">
        <f>IF(ISBLANK(Q96), 0, IFERROR(VALUE(Q96), 0.7))</f>
        <v>0</v>
      </c>
      <c r="X96">
        <f>D96 - C96</f>
        <v>3</v>
      </c>
      <c r="Y96">
        <f>O96 * P96 * (1 - W96)</f>
        <v>26470.710000000003</v>
      </c>
      <c r="Z96">
        <f>Y96 - S96</f>
        <v>5103.1100000000042</v>
      </c>
      <c r="AA96">
        <f>IFERROR(Z96 / Y96, 0)</f>
        <v>0.19278326875251944</v>
      </c>
      <c r="AB96" t="str">
        <f>TEXT(C96, "mmmm")</f>
        <v>September</v>
      </c>
      <c r="AC96">
        <f>YEAR(C96)</f>
        <v>2024</v>
      </c>
      <c r="AD96" t="str">
        <f>IF(X96&lt;0, "Invalid: Ship Date Before Order Date", IF(W96&lt;0, "Invalid: Negative Discount", IF(W96&gt;0.5, "Invalid: Exceeds Allowed Discount", "OK")))</f>
        <v>OK</v>
      </c>
    </row>
    <row r="97" spans="1:30">
      <c r="A97" t="s">
        <v>571</v>
      </c>
      <c r="B97" t="str">
        <f t="shared" si="1"/>
        <v>Unique</v>
      </c>
      <c r="C97" s="3">
        <v>45786</v>
      </c>
      <c r="D97" s="3">
        <v>45910</v>
      </c>
      <c r="E97" t="s">
        <v>574</v>
      </c>
      <c r="F97" t="s">
        <v>168</v>
      </c>
      <c r="G97" t="s">
        <v>108</v>
      </c>
      <c r="H97" t="s">
        <v>73</v>
      </c>
      <c r="I97" t="s">
        <v>249</v>
      </c>
      <c r="J97" t="s">
        <v>250</v>
      </c>
      <c r="K97" t="s">
        <v>45</v>
      </c>
      <c r="L97" t="s">
        <v>204</v>
      </c>
      <c r="M97" t="s">
        <v>575</v>
      </c>
      <c r="N97" t="s">
        <v>48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34</v>
      </c>
      <c r="V97" t="s">
        <v>35</v>
      </c>
      <c r="W97">
        <f>IF(ISBLANK(Q97), 0, IFERROR(VALUE(Q97), 0.7))</f>
        <v>0</v>
      </c>
      <c r="X97">
        <f>D97 - C97</f>
        <v>124</v>
      </c>
      <c r="Y97">
        <f>O97 * P97 * (1 - W97)</f>
        <v>10524.78</v>
      </c>
      <c r="Z97">
        <f>Y97 - S97</f>
        <v>1683.7300000000014</v>
      </c>
      <c r="AA97">
        <f>IFERROR(Z97 / Y97, 0)</f>
        <v>0.15997769074507984</v>
      </c>
      <c r="AB97" t="str">
        <f>TEXT(C97, "mmmm")</f>
        <v>May</v>
      </c>
      <c r="AC97">
        <f>YEAR(C97)</f>
        <v>2025</v>
      </c>
      <c r="AD97" t="str">
        <f>IF(X97&lt;0, "Invalid: Ship Date Before Order Date", IF(W97&lt;0, "Invalid: Negative Discount", IF(W97&gt;0.5, "Invalid: Exceeds Allowed Discount", "OK")))</f>
        <v>OK</v>
      </c>
    </row>
    <row r="98" spans="1:30">
      <c r="A98" t="s">
        <v>576</v>
      </c>
      <c r="B98" t="str">
        <f t="shared" si="1"/>
        <v>Unique</v>
      </c>
      <c r="C98" s="3">
        <v>45448</v>
      </c>
      <c r="D98" s="3">
        <v>45479</v>
      </c>
      <c r="E98" t="s">
        <v>579</v>
      </c>
      <c r="F98" t="s">
        <v>148</v>
      </c>
      <c r="G98" t="s">
        <v>115</v>
      </c>
      <c r="H98" t="s">
        <v>42</v>
      </c>
      <c r="I98" t="s">
        <v>43</v>
      </c>
      <c r="J98" t="s">
        <v>44</v>
      </c>
      <c r="K98" t="s">
        <v>86</v>
      </c>
      <c r="L98" t="s">
        <v>94</v>
      </c>
      <c r="M98" t="s">
        <v>580</v>
      </c>
      <c r="N98" t="s">
        <v>33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34</v>
      </c>
      <c r="V98" t="s">
        <v>35</v>
      </c>
      <c r="W98">
        <f>IF(ISBLANK(Q98), 0, IFERROR(VALUE(Q98), 0.7))</f>
        <v>0.15</v>
      </c>
      <c r="X98">
        <f>D98 - C98</f>
        <v>31</v>
      </c>
      <c r="Y98">
        <f>O98 * P98 * (1 - W98)</f>
        <v>3840.7079999999996</v>
      </c>
      <c r="Z98">
        <f>Y98 - S98</f>
        <v>1324.4179999999997</v>
      </c>
      <c r="AA98">
        <f>IFERROR(Z98 / Y98, 0)</f>
        <v>0.34483694152224009</v>
      </c>
      <c r="AB98" t="str">
        <f>TEXT(C98, "mmmm")</f>
        <v>June</v>
      </c>
      <c r="AC98">
        <f>YEAR(C98)</f>
        <v>2024</v>
      </c>
      <c r="AD98" t="str">
        <f>IF(X98&lt;0, "Invalid: Ship Date Before Order Date", IF(W98&lt;0, "Invalid: Negative Discount", IF(W98&gt;0.5, "Invalid: Exceeds Allowed Discount", "OK")))</f>
        <v>OK</v>
      </c>
    </row>
    <row r="99" spans="1:30">
      <c r="A99" t="s">
        <v>581</v>
      </c>
      <c r="B99" t="str">
        <f t="shared" si="1"/>
        <v>Unique</v>
      </c>
      <c r="C99" s="3">
        <v>45877</v>
      </c>
      <c r="D99" s="3">
        <v>45880</v>
      </c>
      <c r="E99" t="s">
        <v>584</v>
      </c>
      <c r="F99" t="s">
        <v>210</v>
      </c>
      <c r="G99" t="s">
        <v>41</v>
      </c>
      <c r="H99" t="s">
        <v>73</v>
      </c>
      <c r="I99" t="s">
        <v>235</v>
      </c>
      <c r="J99" t="s">
        <v>236</v>
      </c>
      <c r="K99" t="s">
        <v>30</v>
      </c>
      <c r="L99" t="s">
        <v>156</v>
      </c>
      <c r="M99" t="s">
        <v>585</v>
      </c>
      <c r="N99" t="s">
        <v>48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137</v>
      </c>
      <c r="V99" t="s">
        <v>125</v>
      </c>
      <c r="W99">
        <f>IF(ISBLANK(Q99), 0, IFERROR(VALUE(Q99), 0.7))</f>
        <v>0.2</v>
      </c>
      <c r="X99">
        <f>D99 - C99</f>
        <v>3</v>
      </c>
      <c r="Y99">
        <f>O99 * P99 * (1 - W99)</f>
        <v>14409.44</v>
      </c>
      <c r="Z99">
        <f>Y99 - S99</f>
        <v>5599.4700000000012</v>
      </c>
      <c r="AA99">
        <f>IFERROR(Z99 / Y99, 0)</f>
        <v>0.38859733619071951</v>
      </c>
      <c r="AB99" t="str">
        <f>TEXT(C99, "mmmm")</f>
        <v>August</v>
      </c>
      <c r="AC99">
        <f>YEAR(C99)</f>
        <v>2025</v>
      </c>
      <c r="AD99" t="str">
        <f>IF(X99&lt;0, "Invalid: Ship Date Before Order Date", IF(W99&lt;0, "Invalid: Negative Discount", IF(W99&gt;0.5, "Invalid: Exceeds Allowed Discount", "OK")))</f>
        <v>OK</v>
      </c>
    </row>
    <row r="100" spans="1:30">
      <c r="A100" t="s">
        <v>586</v>
      </c>
      <c r="B100" t="str">
        <f t="shared" si="1"/>
        <v>Unique</v>
      </c>
      <c r="C100" s="3">
        <v>45317</v>
      </c>
      <c r="D100" s="3">
        <v>45323</v>
      </c>
      <c r="E100" t="s">
        <v>589</v>
      </c>
      <c r="F100" t="s">
        <v>180</v>
      </c>
      <c r="G100" t="s">
        <v>115</v>
      </c>
      <c r="H100" t="s">
        <v>62</v>
      </c>
      <c r="I100" t="s">
        <v>242</v>
      </c>
      <c r="J100" t="s">
        <v>243</v>
      </c>
      <c r="K100" t="s">
        <v>86</v>
      </c>
      <c r="L100" t="s">
        <v>94</v>
      </c>
      <c r="M100" t="s">
        <v>590</v>
      </c>
      <c r="N100" t="s">
        <v>4110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34</v>
      </c>
      <c r="V100" t="s">
        <v>35</v>
      </c>
      <c r="W100">
        <f>IF(ISBLANK(Q100), 0, IFERROR(VALUE(Q100), 0.7))</f>
        <v>0.1</v>
      </c>
      <c r="X100">
        <f>D100 - C100</f>
        <v>6</v>
      </c>
      <c r="Y100">
        <f>O100 * P100 * (1 - W100)</f>
        <v>15184.295999999998</v>
      </c>
      <c r="Z100">
        <f>Y100 - S100</f>
        <v>3913.5559999999987</v>
      </c>
      <c r="AA100">
        <f>IFERROR(Z100 / Y100, 0)</f>
        <v>0.25773707256497103</v>
      </c>
      <c r="AB100" t="str">
        <f>TEXT(C100, "mmmm")</f>
        <v>January</v>
      </c>
      <c r="AC100">
        <f>YEAR(C100)</f>
        <v>2024</v>
      </c>
      <c r="AD100" t="str">
        <f>IF(X100&lt;0, "Invalid: Ship Date Before Order Date", IF(W100&lt;0, "Invalid: Negative Discount", IF(W100&gt;0.5, "Invalid: Exceeds Allowed Discount", "OK")))</f>
        <v>OK</v>
      </c>
    </row>
    <row r="101" spans="1:30">
      <c r="A101" t="s">
        <v>591</v>
      </c>
      <c r="B101" t="str">
        <f t="shared" si="1"/>
        <v>Unique</v>
      </c>
      <c r="C101" s="3">
        <v>45962</v>
      </c>
      <c r="D101" s="3">
        <v>45962</v>
      </c>
      <c r="E101" t="s">
        <v>593</v>
      </c>
      <c r="F101" t="s">
        <v>107</v>
      </c>
      <c r="G101" t="s">
        <v>41</v>
      </c>
      <c r="H101" t="s">
        <v>73</v>
      </c>
      <c r="I101" t="s">
        <v>28</v>
      </c>
      <c r="J101" t="s">
        <v>135</v>
      </c>
      <c r="K101" t="s">
        <v>86</v>
      </c>
      <c r="L101" t="s">
        <v>87</v>
      </c>
      <c r="M101" t="s">
        <v>594</v>
      </c>
      <c r="N101" t="s">
        <v>48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34</v>
      </c>
      <c r="V101" t="s">
        <v>35</v>
      </c>
      <c r="W101">
        <f>IF(ISBLANK(Q101), 0, IFERROR(VALUE(Q101), 0.7))</f>
        <v>0</v>
      </c>
      <c r="X101">
        <f>D101 - C101</f>
        <v>0</v>
      </c>
      <c r="Y101">
        <f>O101 * P101 * (1 - W101)</f>
        <v>6495.87</v>
      </c>
      <c r="Z101">
        <f>Y101 - S101</f>
        <v>1794.9799999999996</v>
      </c>
      <c r="AA101">
        <f>IFERROR(Z101 / Y101, 0)</f>
        <v>0.27632634273777024</v>
      </c>
      <c r="AB101" t="str">
        <f>TEXT(C101, "mmmm")</f>
        <v>November</v>
      </c>
      <c r="AC101">
        <f>YEAR(C101)</f>
        <v>2025</v>
      </c>
      <c r="AD101" t="str">
        <f>IF(X101&lt;0, "Invalid: Ship Date Before Order Date", IF(W101&lt;0, "Invalid: Negative Discount", IF(W101&gt;0.5, "Invalid: Exceeds Allowed Discount", "OK")))</f>
        <v>OK</v>
      </c>
    </row>
    <row r="102" spans="1:30">
      <c r="A102" t="s">
        <v>595</v>
      </c>
      <c r="B102" t="str">
        <f t="shared" si="1"/>
        <v>Unique</v>
      </c>
      <c r="C102" s="3">
        <v>45912</v>
      </c>
      <c r="D102" s="3">
        <v>45918</v>
      </c>
      <c r="E102" t="s">
        <v>598</v>
      </c>
      <c r="F102" t="s">
        <v>162</v>
      </c>
      <c r="G102" t="s">
        <v>115</v>
      </c>
      <c r="H102" t="s">
        <v>62</v>
      </c>
      <c r="I102" t="s">
        <v>242</v>
      </c>
      <c r="J102" t="s">
        <v>243</v>
      </c>
      <c r="K102" t="s">
        <v>30</v>
      </c>
      <c r="L102" t="s">
        <v>156</v>
      </c>
      <c r="M102" t="s">
        <v>599</v>
      </c>
      <c r="N102" t="s">
        <v>67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34</v>
      </c>
      <c r="V102" t="s">
        <v>35</v>
      </c>
      <c r="W102">
        <f>IF(ISBLANK(Q102), 0, IFERROR(VALUE(Q102), 0.7))</f>
        <v>0.05</v>
      </c>
      <c r="X102">
        <f>D102 - C102</f>
        <v>6</v>
      </c>
      <c r="Y102">
        <f>O102 * P102 * (1 - W102)</f>
        <v>9540.659999999998</v>
      </c>
      <c r="Z102">
        <f>Y102 - S102</f>
        <v>3979.1699999999983</v>
      </c>
      <c r="AA102">
        <f>IFERROR(Z102 / Y102, 0)</f>
        <v>0.41707491934520241</v>
      </c>
      <c r="AB102" t="str">
        <f>TEXT(C102, "mmmm")</f>
        <v>September</v>
      </c>
      <c r="AC102">
        <f>YEAR(C102)</f>
        <v>2025</v>
      </c>
      <c r="AD102" t="str">
        <f>IF(X102&lt;0, "Invalid: Ship Date Before Order Date", IF(W102&lt;0, "Invalid: Negative Discount", IF(W102&gt;0.5, "Invalid: Exceeds Allowed Discount", "OK")))</f>
        <v>OK</v>
      </c>
    </row>
    <row r="103" spans="1:30">
      <c r="A103" t="s">
        <v>600</v>
      </c>
      <c r="B103" t="str">
        <f t="shared" si="1"/>
        <v>Unique</v>
      </c>
      <c r="C103" s="3">
        <v>45465</v>
      </c>
      <c r="D103" s="3">
        <v>45469</v>
      </c>
      <c r="E103" t="s">
        <v>602</v>
      </c>
      <c r="F103" t="s">
        <v>180</v>
      </c>
      <c r="G103" t="s">
        <v>115</v>
      </c>
      <c r="H103" t="s">
        <v>42</v>
      </c>
      <c r="I103" t="s">
        <v>186</v>
      </c>
      <c r="J103" t="s">
        <v>187</v>
      </c>
      <c r="K103" t="s">
        <v>45</v>
      </c>
      <c r="L103" t="s">
        <v>65</v>
      </c>
      <c r="M103" t="s">
        <v>603</v>
      </c>
      <c r="N103" t="s">
        <v>56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34</v>
      </c>
      <c r="V103" t="s">
        <v>35</v>
      </c>
      <c r="W103">
        <f>IF(ISBLANK(Q103), 0, IFERROR(VALUE(Q103), 0.7))</f>
        <v>0.25</v>
      </c>
      <c r="X103">
        <f>D103 - C103</f>
        <v>4</v>
      </c>
      <c r="Y103">
        <f>O103 * P103 * (1 - W103)</f>
        <v>16486.95</v>
      </c>
      <c r="Z103">
        <f>Y103 - S103</f>
        <v>4432.8100000000013</v>
      </c>
      <c r="AA103">
        <f>IFERROR(Z103 / Y103, 0)</f>
        <v>0.26886780150361356</v>
      </c>
      <c r="AB103" t="str">
        <f>TEXT(C103, "mmmm")</f>
        <v>June</v>
      </c>
      <c r="AC103">
        <f>YEAR(C103)</f>
        <v>2024</v>
      </c>
      <c r="AD103" t="str">
        <f>IF(X103&lt;0, "Invalid: Ship Date Before Order Date", IF(W103&lt;0, "Invalid: Negative Discount", IF(W103&gt;0.5, "Invalid: Exceeds Allowed Discount", "OK")))</f>
        <v>OK</v>
      </c>
    </row>
    <row r="104" spans="1:30">
      <c r="A104" t="s">
        <v>604</v>
      </c>
      <c r="B104" t="str">
        <f t="shared" si="1"/>
        <v>Unique</v>
      </c>
      <c r="C104" s="3">
        <v>45850</v>
      </c>
      <c r="D104" s="3">
        <v>45854</v>
      </c>
      <c r="E104" t="s">
        <v>607</v>
      </c>
      <c r="F104" t="s">
        <v>83</v>
      </c>
      <c r="G104" t="s">
        <v>26</v>
      </c>
      <c r="H104" t="s">
        <v>62</v>
      </c>
      <c r="I104" t="s">
        <v>229</v>
      </c>
      <c r="J104" t="s">
        <v>230</v>
      </c>
      <c r="K104" t="s">
        <v>45</v>
      </c>
      <c r="L104" t="s">
        <v>76</v>
      </c>
      <c r="M104" t="s">
        <v>608</v>
      </c>
      <c r="N104" t="s">
        <v>56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124</v>
      </c>
      <c r="V104" t="s">
        <v>78</v>
      </c>
      <c r="W104">
        <f>IF(ISBLANK(Q104), 0, IFERROR(VALUE(Q104), 0.7))</f>
        <v>0</v>
      </c>
      <c r="X104">
        <f>D104 - C104</f>
        <v>4</v>
      </c>
      <c r="Y104">
        <f>O104 * P104 * (1 - W104)</f>
        <v>11462.84</v>
      </c>
      <c r="Z104">
        <f>Y104 - S104</f>
        <v>2483.0599999999995</v>
      </c>
      <c r="AA104">
        <f>IFERROR(Z104 / Y104, 0)</f>
        <v>0.21661822026653077</v>
      </c>
      <c r="AB104" t="str">
        <f>TEXT(C104, "mmmm")</f>
        <v>July</v>
      </c>
      <c r="AC104">
        <f>YEAR(C104)</f>
        <v>2025</v>
      </c>
      <c r="AD104" t="str">
        <f>IF(X104&lt;0, "Invalid: Ship Date Before Order Date", IF(W104&lt;0, "Invalid: Negative Discount", IF(W104&gt;0.5, "Invalid: Exceeds Allowed Discount", "OK")))</f>
        <v>OK</v>
      </c>
    </row>
    <row r="105" spans="1:30">
      <c r="A105" t="s">
        <v>609</v>
      </c>
      <c r="B105" t="str">
        <f t="shared" si="1"/>
        <v>Unique</v>
      </c>
      <c r="C105" s="3">
        <v>45779</v>
      </c>
      <c r="D105" s="3">
        <v>45787</v>
      </c>
      <c r="E105" t="s">
        <v>612</v>
      </c>
      <c r="F105" t="s">
        <v>366</v>
      </c>
      <c r="G105" t="s">
        <v>108</v>
      </c>
      <c r="H105" t="s">
        <v>73</v>
      </c>
      <c r="I105" t="s">
        <v>74</v>
      </c>
      <c r="J105" t="s">
        <v>75</v>
      </c>
      <c r="K105" t="s">
        <v>45</v>
      </c>
      <c r="L105" t="s">
        <v>46</v>
      </c>
      <c r="M105" t="s">
        <v>613</v>
      </c>
      <c r="N105" t="s">
        <v>56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34</v>
      </c>
      <c r="V105" t="s">
        <v>35</v>
      </c>
      <c r="W105">
        <f>IF(ISBLANK(Q105), 0, IFERROR(VALUE(Q105), 0.7))</f>
        <v>0.2</v>
      </c>
      <c r="X105">
        <f>D105 - C105</f>
        <v>8</v>
      </c>
      <c r="Y105">
        <f>O105 * P105 * (1 - W105)</f>
        <v>7809.0880000000006</v>
      </c>
      <c r="Z105">
        <f>Y105 - S105</f>
        <v>1151.3380000000006</v>
      </c>
      <c r="AA105">
        <f>IFERROR(Z105 / Y105, 0)</f>
        <v>0.14743565445798543</v>
      </c>
      <c r="AB105" t="str">
        <f>TEXT(C105, "mmmm")</f>
        <v>May</v>
      </c>
      <c r="AC105">
        <f>YEAR(C105)</f>
        <v>2025</v>
      </c>
      <c r="AD105" t="str">
        <f>IF(X105&lt;0, "Invalid: Ship Date Before Order Date", IF(W105&lt;0, "Invalid: Negative Discount", IF(W105&gt;0.5, "Invalid: Exceeds Allowed Discount", "OK")))</f>
        <v>OK</v>
      </c>
    </row>
    <row r="106" spans="1:30">
      <c r="A106" t="s">
        <v>614</v>
      </c>
      <c r="B106" t="str">
        <f t="shared" si="1"/>
        <v>Unique</v>
      </c>
      <c r="C106" s="3">
        <v>45689</v>
      </c>
      <c r="D106" s="3">
        <v>45696</v>
      </c>
      <c r="E106" t="s">
        <v>617</v>
      </c>
      <c r="F106" t="s">
        <v>72</v>
      </c>
      <c r="G106" t="s">
        <v>26</v>
      </c>
      <c r="H106" t="s">
        <v>62</v>
      </c>
      <c r="I106" t="s">
        <v>229</v>
      </c>
      <c r="J106" t="s">
        <v>230</v>
      </c>
      <c r="K106" t="s">
        <v>30</v>
      </c>
      <c r="L106" t="s">
        <v>109</v>
      </c>
      <c r="M106" t="s">
        <v>618</v>
      </c>
      <c r="N106" t="s">
        <v>48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34</v>
      </c>
      <c r="V106" t="s">
        <v>78</v>
      </c>
      <c r="W106">
        <f>IF(ISBLANK(Q106), 0, IFERROR(VALUE(Q106), 0.7))</f>
        <v>0.25</v>
      </c>
      <c r="X106">
        <f>D106 - C106</f>
        <v>7</v>
      </c>
      <c r="Y106">
        <f>O106 * P106 * (1 - W106)</f>
        <v>7922.0250000000005</v>
      </c>
      <c r="Z106">
        <f>Y106 - S106</f>
        <v>2302.0750000000007</v>
      </c>
      <c r="AA106">
        <f>IFERROR(Z106 / Y106, 0)</f>
        <v>0.29059173633004193</v>
      </c>
      <c r="AB106" t="str">
        <f>TEXT(C106, "mmmm")</f>
        <v>February</v>
      </c>
      <c r="AC106">
        <f>YEAR(C106)</f>
        <v>2025</v>
      </c>
      <c r="AD106" t="str">
        <f>IF(X106&lt;0, "Invalid: Ship Date Before Order Date", IF(W106&lt;0, "Invalid: Negative Discount", IF(W106&gt;0.5, "Invalid: Exceeds Allowed Discount", "OK")))</f>
        <v>OK</v>
      </c>
    </row>
    <row r="107" spans="1:30">
      <c r="A107" t="s">
        <v>619</v>
      </c>
      <c r="B107" t="str">
        <f t="shared" si="1"/>
        <v>Unique</v>
      </c>
      <c r="C107" s="3">
        <v>45467</v>
      </c>
      <c r="D107" s="3">
        <v>45472</v>
      </c>
      <c r="E107" t="s">
        <v>622</v>
      </c>
      <c r="F107" t="s">
        <v>40</v>
      </c>
      <c r="G107" t="s">
        <v>115</v>
      </c>
      <c r="H107" t="s">
        <v>42</v>
      </c>
      <c r="I107" t="s">
        <v>121</v>
      </c>
      <c r="J107" t="s">
        <v>122</v>
      </c>
      <c r="K107" t="s">
        <v>45</v>
      </c>
      <c r="L107" t="s">
        <v>46</v>
      </c>
      <c r="M107" t="s">
        <v>623</v>
      </c>
      <c r="N107" t="s">
        <v>33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34</v>
      </c>
      <c r="V107" t="s">
        <v>35</v>
      </c>
      <c r="W107">
        <f>IF(ISBLANK(Q107), 0, IFERROR(VALUE(Q107), 0.7))</f>
        <v>0.1</v>
      </c>
      <c r="X107">
        <f>D107 - C107</f>
        <v>5</v>
      </c>
      <c r="Y107">
        <f>O107 * P107 * (1 - W107)</f>
        <v>1233</v>
      </c>
      <c r="Z107">
        <f>Y107 - S107</f>
        <v>226.10000000000002</v>
      </c>
      <c r="AA107">
        <f>IFERROR(Z107 / Y107, 0)</f>
        <v>0.18337388483373887</v>
      </c>
      <c r="AB107" t="str">
        <f>TEXT(C107, "mmmm")</f>
        <v>June</v>
      </c>
      <c r="AC107">
        <f>YEAR(C107)</f>
        <v>2024</v>
      </c>
      <c r="AD107" t="str">
        <f>IF(X107&lt;0, "Invalid: Ship Date Before Order Date", IF(W107&lt;0, "Invalid: Negative Discount", IF(W107&gt;0.5, "Invalid: Exceeds Allowed Discount", "OK")))</f>
        <v>OK</v>
      </c>
    </row>
    <row r="108" spans="1:30">
      <c r="A108" t="s">
        <v>624</v>
      </c>
      <c r="B108" t="str">
        <f t="shared" si="1"/>
        <v>Unique</v>
      </c>
      <c r="C108" s="3">
        <v>45342</v>
      </c>
      <c r="D108" s="3">
        <v>45350</v>
      </c>
      <c r="E108" t="s">
        <v>627</v>
      </c>
      <c r="F108" t="s">
        <v>61</v>
      </c>
      <c r="G108" t="s">
        <v>115</v>
      </c>
      <c r="H108" t="s">
        <v>42</v>
      </c>
      <c r="I108" t="s">
        <v>121</v>
      </c>
      <c r="J108" t="s">
        <v>122</v>
      </c>
      <c r="K108" t="s">
        <v>30</v>
      </c>
      <c r="L108" t="s">
        <v>31</v>
      </c>
      <c r="M108" t="s">
        <v>628</v>
      </c>
      <c r="N108" t="s">
        <v>67</v>
      </c>
      <c r="O108">
        <v>2</v>
      </c>
      <c r="P108">
        <v>4004.04</v>
      </c>
      <c r="R108">
        <v>7207.27</v>
      </c>
      <c r="S108">
        <v>5709.39</v>
      </c>
      <c r="T108">
        <v>1497.88</v>
      </c>
      <c r="U108" t="s">
        <v>34</v>
      </c>
      <c r="V108" t="s">
        <v>78</v>
      </c>
      <c r="W108">
        <f>IF(ISBLANK(Q108), 0, IFERROR(VALUE(Q108), 0.7))</f>
        <v>0</v>
      </c>
      <c r="X108">
        <f>D108 - C108</f>
        <v>8</v>
      </c>
      <c r="Y108">
        <f>O108 * P108 * (1 - W108)</f>
        <v>8008.08</v>
      </c>
      <c r="Z108">
        <f>Y108 - S108</f>
        <v>2298.6899999999996</v>
      </c>
      <c r="AA108">
        <f>IFERROR(Z108 / Y108, 0)</f>
        <v>0.28704633320346445</v>
      </c>
      <c r="AB108" t="str">
        <f>TEXT(C108, "mmmm")</f>
        <v>February</v>
      </c>
      <c r="AC108">
        <f>YEAR(C108)</f>
        <v>2024</v>
      </c>
      <c r="AD108" t="str">
        <f>IF(X108&lt;0, "Invalid: Ship Date Before Order Date", IF(W108&lt;0, "Invalid: Negative Discount", IF(W108&gt;0.5, "Invalid: Exceeds Allowed Discount", "OK")))</f>
        <v>OK</v>
      </c>
    </row>
    <row r="109" spans="1:30">
      <c r="A109" t="s">
        <v>629</v>
      </c>
      <c r="B109" t="str">
        <f t="shared" si="1"/>
        <v>Unique</v>
      </c>
      <c r="C109" s="3">
        <v>45594</v>
      </c>
      <c r="D109" s="3">
        <v>45600</v>
      </c>
      <c r="E109" t="s">
        <v>632</v>
      </c>
      <c r="F109" t="s">
        <v>180</v>
      </c>
      <c r="G109" t="s">
        <v>115</v>
      </c>
      <c r="H109" t="s">
        <v>42</v>
      </c>
      <c r="I109" t="s">
        <v>121</v>
      </c>
      <c r="J109" t="s">
        <v>122</v>
      </c>
      <c r="K109" t="s">
        <v>45</v>
      </c>
      <c r="L109" t="s">
        <v>65</v>
      </c>
      <c r="M109" t="s">
        <v>633</v>
      </c>
      <c r="N109" t="s">
        <v>56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34</v>
      </c>
      <c r="V109" t="s">
        <v>35</v>
      </c>
      <c r="W109">
        <f>IF(ISBLANK(Q109), 0, IFERROR(VALUE(Q109), 0.7))</f>
        <v>0.05</v>
      </c>
      <c r="X109">
        <f>D109 - C109</f>
        <v>6</v>
      </c>
      <c r="Y109">
        <f>O109 * P109 * (1 - W109)</f>
        <v>12263.236500000001</v>
      </c>
      <c r="Z109">
        <f>Y109 - S109</f>
        <v>3337.6665000000012</v>
      </c>
      <c r="AA109">
        <f>IFERROR(Z109 / Y109, 0)</f>
        <v>0.27216848504878799</v>
      </c>
      <c r="AB109" t="str">
        <f>TEXT(C109, "mmmm")</f>
        <v>October</v>
      </c>
      <c r="AC109">
        <f>YEAR(C109)</f>
        <v>2024</v>
      </c>
      <c r="AD109" t="str">
        <f>IF(X109&lt;0, "Invalid: Ship Date Before Order Date", IF(W109&lt;0, "Invalid: Negative Discount", IF(W109&gt;0.5, "Invalid: Exceeds Allowed Discount", "OK")))</f>
        <v>OK</v>
      </c>
    </row>
    <row r="110" spans="1:30">
      <c r="A110" t="s">
        <v>634</v>
      </c>
      <c r="B110" t="str">
        <f t="shared" si="1"/>
        <v>Unique</v>
      </c>
      <c r="C110" s="3">
        <v>45519</v>
      </c>
      <c r="D110" s="3">
        <v>45527</v>
      </c>
      <c r="E110" t="s">
        <v>637</v>
      </c>
      <c r="F110" t="s">
        <v>107</v>
      </c>
      <c r="G110" t="s">
        <v>41</v>
      </c>
      <c r="H110" t="s">
        <v>42</v>
      </c>
      <c r="I110" t="s">
        <v>43</v>
      </c>
      <c r="J110" t="s">
        <v>44</v>
      </c>
      <c r="K110" t="s">
        <v>45</v>
      </c>
      <c r="L110" t="s">
        <v>204</v>
      </c>
      <c r="M110" t="s">
        <v>638</v>
      </c>
      <c r="N110" t="s">
        <v>48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34</v>
      </c>
      <c r="V110" t="s">
        <v>35</v>
      </c>
      <c r="W110">
        <f>IF(ISBLANK(Q110), 0, IFERROR(VALUE(Q110), 0.7))</f>
        <v>0.25</v>
      </c>
      <c r="X110">
        <f>D110 - C110</f>
        <v>8</v>
      </c>
      <c r="Y110">
        <f>O110 * P110 * (1 - W110)</f>
        <v>806.31</v>
      </c>
      <c r="Z110">
        <f>Y110 - S110</f>
        <v>307.80999999999995</v>
      </c>
      <c r="AA110">
        <f>IFERROR(Z110 / Y110, 0)</f>
        <v>0.38175143555208291</v>
      </c>
      <c r="AB110" t="str">
        <f>TEXT(C110, "mmmm")</f>
        <v>August</v>
      </c>
      <c r="AC110">
        <f>YEAR(C110)</f>
        <v>2024</v>
      </c>
      <c r="AD110" t="str">
        <f>IF(X110&lt;0, "Invalid: Ship Date Before Order Date", IF(W110&lt;0, "Invalid: Negative Discount", IF(W110&gt;0.5, "Invalid: Exceeds Allowed Discount", "OK")))</f>
        <v>OK</v>
      </c>
    </row>
    <row r="111" spans="1:30">
      <c r="A111" t="s">
        <v>639</v>
      </c>
      <c r="B111" t="str">
        <f t="shared" si="1"/>
        <v>Unique</v>
      </c>
      <c r="C111" s="3">
        <v>45892</v>
      </c>
      <c r="D111" s="3">
        <v>45896</v>
      </c>
      <c r="E111" t="s">
        <v>641</v>
      </c>
      <c r="F111" t="s">
        <v>168</v>
      </c>
      <c r="G111" t="s">
        <v>26</v>
      </c>
      <c r="H111" t="s">
        <v>27</v>
      </c>
      <c r="I111" t="s">
        <v>506</v>
      </c>
      <c r="J111" t="s">
        <v>507</v>
      </c>
      <c r="K111" t="s">
        <v>30</v>
      </c>
      <c r="L111" t="s">
        <v>198</v>
      </c>
      <c r="M111" t="s">
        <v>642</v>
      </c>
      <c r="N111" t="s">
        <v>33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34</v>
      </c>
      <c r="V111" t="s">
        <v>35</v>
      </c>
      <c r="W111">
        <f>IF(ISBLANK(Q111), 0, IFERROR(VALUE(Q111), 0.7))</f>
        <v>0.25</v>
      </c>
      <c r="X111">
        <f>D111 - C111</f>
        <v>4</v>
      </c>
      <c r="Y111">
        <f>O111 * P111 * (1 - W111)</f>
        <v>2091.4650000000001</v>
      </c>
      <c r="Z111">
        <f>Y111 - S111</f>
        <v>774.24500000000012</v>
      </c>
      <c r="AA111">
        <f>IFERROR(Z111 / Y111, 0)</f>
        <v>0.37019266399389905</v>
      </c>
      <c r="AB111" t="str">
        <f>TEXT(C111, "mmmm")</f>
        <v>August</v>
      </c>
      <c r="AC111">
        <f>YEAR(C111)</f>
        <v>2025</v>
      </c>
      <c r="AD111" t="str">
        <f>IF(X111&lt;0, "Invalid: Ship Date Before Order Date", IF(W111&lt;0, "Invalid: Negative Discount", IF(W111&gt;0.5, "Invalid: Exceeds Allowed Discount", "OK")))</f>
        <v>OK</v>
      </c>
    </row>
    <row r="112" spans="1:30">
      <c r="A112" t="s">
        <v>643</v>
      </c>
      <c r="B112" t="str">
        <f t="shared" si="1"/>
        <v>Unique</v>
      </c>
      <c r="C112" s="3">
        <v>45583</v>
      </c>
      <c r="D112" s="3">
        <v>45589</v>
      </c>
      <c r="E112" t="s">
        <v>646</v>
      </c>
      <c r="F112" t="s">
        <v>83</v>
      </c>
      <c r="G112" t="s">
        <v>108</v>
      </c>
      <c r="H112" t="s">
        <v>62</v>
      </c>
      <c r="I112" t="s">
        <v>242</v>
      </c>
      <c r="J112" t="s">
        <v>243</v>
      </c>
      <c r="K112" t="s">
        <v>30</v>
      </c>
      <c r="L112" t="s">
        <v>109</v>
      </c>
      <c r="M112" t="s">
        <v>647</v>
      </c>
      <c r="N112" t="s">
        <v>56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124</v>
      </c>
      <c r="V112" t="s">
        <v>78</v>
      </c>
      <c r="W112">
        <f>IF(ISBLANK(Q112), 0, IFERROR(VALUE(Q112), 0.7))</f>
        <v>0</v>
      </c>
      <c r="X112">
        <f>D112 - C112</f>
        <v>6</v>
      </c>
      <c r="Y112">
        <f>O112 * P112 * (1 - W112)</f>
        <v>4500.9399999999996</v>
      </c>
      <c r="Z112">
        <f>Y112 - S112</f>
        <v>1893.2099999999996</v>
      </c>
      <c r="AA112">
        <f>IFERROR(Z112 / Y112, 0)</f>
        <v>0.42062546934640316</v>
      </c>
      <c r="AB112" t="str">
        <f>TEXT(C112, "mmmm")</f>
        <v>October</v>
      </c>
      <c r="AC112">
        <f>YEAR(C112)</f>
        <v>2024</v>
      </c>
      <c r="AD112" t="str">
        <f>IF(X112&lt;0, "Invalid: Ship Date Before Order Date", IF(W112&lt;0, "Invalid: Negative Discount", IF(W112&gt;0.5, "Invalid: Exceeds Allowed Discount", "OK")))</f>
        <v>OK</v>
      </c>
    </row>
    <row r="113" spans="1:30">
      <c r="A113" t="s">
        <v>648</v>
      </c>
      <c r="B113" t="str">
        <f t="shared" si="1"/>
        <v>Unique</v>
      </c>
      <c r="C113" s="3">
        <v>45835</v>
      </c>
      <c r="D113" s="3">
        <v>45838</v>
      </c>
      <c r="E113" t="s">
        <v>651</v>
      </c>
      <c r="F113" t="s">
        <v>93</v>
      </c>
      <c r="G113" t="s">
        <v>108</v>
      </c>
      <c r="H113" t="s">
        <v>42</v>
      </c>
      <c r="I113" t="s">
        <v>186</v>
      </c>
      <c r="J113" t="s">
        <v>187</v>
      </c>
      <c r="K113" t="s">
        <v>86</v>
      </c>
      <c r="L113" t="s">
        <v>87</v>
      </c>
      <c r="M113" t="s">
        <v>652</v>
      </c>
      <c r="N113" t="s">
        <v>56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137</v>
      </c>
      <c r="V113" t="s">
        <v>78</v>
      </c>
      <c r="W113">
        <f>IF(ISBLANK(Q113), 0, IFERROR(VALUE(Q113), 0.7))</f>
        <v>0.05</v>
      </c>
      <c r="X113">
        <f>D113 - C113</f>
        <v>3</v>
      </c>
      <c r="Y113">
        <f>O113 * P113 * (1 - W113)</f>
        <v>1623.018</v>
      </c>
      <c r="Z113">
        <f>Y113 - S113</f>
        <v>545.55799999999999</v>
      </c>
      <c r="AA113">
        <f>IFERROR(Z113 / Y113, 0)</f>
        <v>0.3361379849145234</v>
      </c>
      <c r="AB113" t="str">
        <f>TEXT(C113, "mmmm")</f>
        <v>June</v>
      </c>
      <c r="AC113">
        <f>YEAR(C113)</f>
        <v>2025</v>
      </c>
      <c r="AD113" t="str">
        <f>IF(X113&lt;0, "Invalid: Ship Date Before Order Date", IF(W113&lt;0, "Invalid: Negative Discount", IF(W113&gt;0.5, "Invalid: Exceeds Allowed Discount", "OK")))</f>
        <v>OK</v>
      </c>
    </row>
    <row r="114" spans="1:30">
      <c r="A114" t="s">
        <v>653</v>
      </c>
      <c r="B114" t="str">
        <f t="shared" si="1"/>
        <v>Unique</v>
      </c>
      <c r="C114" s="3">
        <v>45301</v>
      </c>
      <c r="D114" s="3">
        <v>45305</v>
      </c>
      <c r="E114" t="s">
        <v>656</v>
      </c>
      <c r="F114" t="s">
        <v>168</v>
      </c>
      <c r="G114" t="s">
        <v>26</v>
      </c>
      <c r="H114" t="s">
        <v>4110</v>
      </c>
      <c r="I114" t="s">
        <v>235</v>
      </c>
      <c r="J114" t="s">
        <v>236</v>
      </c>
      <c r="K114" t="s">
        <v>86</v>
      </c>
      <c r="L114" t="s">
        <v>87</v>
      </c>
      <c r="M114" t="s">
        <v>657</v>
      </c>
      <c r="N114" t="s">
        <v>67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34</v>
      </c>
      <c r="V114" t="s">
        <v>35</v>
      </c>
      <c r="W114">
        <f>IF(ISBLANK(Q114), 0, IFERROR(VALUE(Q114), 0.7))</f>
        <v>0.05</v>
      </c>
      <c r="X114">
        <f>D114 - C114</f>
        <v>4</v>
      </c>
      <c r="Y114">
        <f>O114 * P114 * (1 - W114)</f>
        <v>10914.018</v>
      </c>
      <c r="Z114">
        <f>Y114 - S114</f>
        <v>4365.2780000000002</v>
      </c>
      <c r="AA114">
        <f>IFERROR(Z114 / Y114, 0)</f>
        <v>0.39996983695647198</v>
      </c>
      <c r="AB114" t="str">
        <f>TEXT(C114, "mmmm")</f>
        <v>January</v>
      </c>
      <c r="AC114">
        <f>YEAR(C114)</f>
        <v>2024</v>
      </c>
      <c r="AD114" t="str">
        <f>IF(X114&lt;0, "Invalid: Ship Date Before Order Date", IF(W114&lt;0, "Invalid: Negative Discount", IF(W114&gt;0.5, "Invalid: Exceeds Allowed Discount", "OK")))</f>
        <v>OK</v>
      </c>
    </row>
    <row r="115" spans="1:30">
      <c r="A115" t="s">
        <v>658</v>
      </c>
      <c r="B115" t="str">
        <f t="shared" si="1"/>
        <v>Unique</v>
      </c>
      <c r="C115" s="3">
        <v>45628</v>
      </c>
      <c r="D115" s="3">
        <v>45628</v>
      </c>
      <c r="E115" t="s">
        <v>521</v>
      </c>
      <c r="F115" t="s">
        <v>53</v>
      </c>
      <c r="G115" t="s">
        <v>115</v>
      </c>
      <c r="H115" t="s">
        <v>62</v>
      </c>
      <c r="I115" t="s">
        <v>339</v>
      </c>
      <c r="J115" t="s">
        <v>340</v>
      </c>
      <c r="K115" t="s">
        <v>45</v>
      </c>
      <c r="L115" t="s">
        <v>46</v>
      </c>
      <c r="M115" t="s">
        <v>660</v>
      </c>
      <c r="N115" t="s">
        <v>67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34</v>
      </c>
      <c r="V115" t="s">
        <v>35</v>
      </c>
      <c r="W115">
        <f>IF(ISBLANK(Q115), 0, IFERROR(VALUE(Q115), 0.7))</f>
        <v>0.25</v>
      </c>
      <c r="X115">
        <f>D115 - C115</f>
        <v>0</v>
      </c>
      <c r="Y115">
        <f>O115 * P115 * (1 - W115)</f>
        <v>2450.5875000000001</v>
      </c>
      <c r="Z115">
        <f>Y115 - S115</f>
        <v>810.69749999999999</v>
      </c>
      <c r="AA115">
        <f>IFERROR(Z115 / Y115, 0)</f>
        <v>0.33081761006289306</v>
      </c>
      <c r="AB115" t="str">
        <f>TEXT(C115, "mmmm")</f>
        <v>December</v>
      </c>
      <c r="AC115">
        <f>YEAR(C115)</f>
        <v>2024</v>
      </c>
      <c r="AD115" t="str">
        <f>IF(X115&lt;0, "Invalid: Ship Date Before Order Date", IF(W115&lt;0, "Invalid: Negative Discount", IF(W115&gt;0.5, "Invalid: Exceeds Allowed Discount", "OK")))</f>
        <v>OK</v>
      </c>
    </row>
    <row r="116" spans="1:30">
      <c r="A116" t="s">
        <v>661</v>
      </c>
      <c r="B116" t="str">
        <f t="shared" si="1"/>
        <v>Unique</v>
      </c>
      <c r="C116" s="3">
        <v>45560</v>
      </c>
      <c r="D116" s="3">
        <v>45565</v>
      </c>
      <c r="E116" t="s">
        <v>664</v>
      </c>
      <c r="F116" t="s">
        <v>93</v>
      </c>
      <c r="G116" t="s">
        <v>41</v>
      </c>
      <c r="H116" t="s">
        <v>27</v>
      </c>
      <c r="I116" t="s">
        <v>28</v>
      </c>
      <c r="J116" t="s">
        <v>29</v>
      </c>
      <c r="K116" t="s">
        <v>86</v>
      </c>
      <c r="L116" t="s">
        <v>87</v>
      </c>
      <c r="M116" t="s">
        <v>665</v>
      </c>
      <c r="N116" t="s">
        <v>33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137</v>
      </c>
      <c r="V116" t="s">
        <v>78</v>
      </c>
      <c r="W116">
        <f>IF(ISBLANK(Q116), 0, IFERROR(VALUE(Q116), 0.7))</f>
        <v>0.1</v>
      </c>
      <c r="X116">
        <f>D116 - C116</f>
        <v>5</v>
      </c>
      <c r="Y116">
        <f>O116 * P116 * (1 - W116)</f>
        <v>3949.56</v>
      </c>
      <c r="Z116">
        <f>Y116 - S116</f>
        <v>762.82999999999993</v>
      </c>
      <c r="AA116">
        <f>IFERROR(Z116 / Y116, 0)</f>
        <v>0.19314303365438173</v>
      </c>
      <c r="AB116" t="str">
        <f>TEXT(C116, "mmmm")</f>
        <v>September</v>
      </c>
      <c r="AC116">
        <f>YEAR(C116)</f>
        <v>2024</v>
      </c>
      <c r="AD116" t="str">
        <f>IF(X116&lt;0, "Invalid: Ship Date Before Order Date", IF(W116&lt;0, "Invalid: Negative Discount", IF(W116&gt;0.5, "Invalid: Exceeds Allowed Discount", "OK")))</f>
        <v>OK</v>
      </c>
    </row>
    <row r="117" spans="1:30">
      <c r="A117" t="s">
        <v>666</v>
      </c>
      <c r="B117" t="str">
        <f t="shared" si="1"/>
        <v>Unique</v>
      </c>
      <c r="C117" s="3">
        <v>45653</v>
      </c>
      <c r="D117" s="3">
        <v>45658</v>
      </c>
      <c r="E117" t="s">
        <v>669</v>
      </c>
      <c r="F117" t="s">
        <v>366</v>
      </c>
      <c r="G117" t="s">
        <v>108</v>
      </c>
      <c r="H117" t="s">
        <v>62</v>
      </c>
      <c r="I117" t="s">
        <v>339</v>
      </c>
      <c r="J117" t="s">
        <v>340</v>
      </c>
      <c r="K117" t="s">
        <v>30</v>
      </c>
      <c r="L117" t="s">
        <v>198</v>
      </c>
      <c r="M117" t="s">
        <v>670</v>
      </c>
      <c r="N117" t="s">
        <v>48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34</v>
      </c>
      <c r="V117" t="s">
        <v>78</v>
      </c>
      <c r="W117">
        <f>IF(ISBLANK(Q117), 0, IFERROR(VALUE(Q117), 0.7))</f>
        <v>0.15</v>
      </c>
      <c r="X117">
        <f>D117 - C117</f>
        <v>5</v>
      </c>
      <c r="Y117">
        <f>O117 * P117 * (1 - W117)</f>
        <v>758.77799999999991</v>
      </c>
      <c r="Z117">
        <f>Y117 - S117</f>
        <v>268.0379999999999</v>
      </c>
      <c r="AA117">
        <f>IFERROR(Z117 / Y117, 0)</f>
        <v>0.35324956706704719</v>
      </c>
      <c r="AB117" t="str">
        <f>TEXT(C117, "mmmm")</f>
        <v>December</v>
      </c>
      <c r="AC117">
        <f>YEAR(C117)</f>
        <v>2024</v>
      </c>
      <c r="AD117" t="str">
        <f>IF(X117&lt;0, "Invalid: Ship Date Before Order Date", IF(W117&lt;0, "Invalid: Negative Discount", IF(W117&gt;0.5, "Invalid: Exceeds Allowed Discount", "OK")))</f>
        <v>OK</v>
      </c>
    </row>
    <row r="118" spans="1:30">
      <c r="A118" t="s">
        <v>671</v>
      </c>
      <c r="B118" t="str">
        <f t="shared" si="1"/>
        <v>Unique</v>
      </c>
      <c r="C118" s="3">
        <v>45703</v>
      </c>
      <c r="D118" s="3">
        <v>45707</v>
      </c>
      <c r="E118" t="s">
        <v>674</v>
      </c>
      <c r="F118" t="s">
        <v>72</v>
      </c>
      <c r="G118" t="s">
        <v>41</v>
      </c>
      <c r="H118" t="s">
        <v>4110</v>
      </c>
      <c r="I118" t="s">
        <v>84</v>
      </c>
      <c r="J118" t="s">
        <v>85</v>
      </c>
      <c r="K118" t="s">
        <v>30</v>
      </c>
      <c r="L118" t="s">
        <v>198</v>
      </c>
      <c r="M118" t="s">
        <v>675</v>
      </c>
      <c r="N118" t="s">
        <v>56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200</v>
      </c>
      <c r="V118" t="s">
        <v>78</v>
      </c>
      <c r="W118">
        <f>IF(ISBLANK(Q118), 0, IFERROR(VALUE(Q118), 0.7))</f>
        <v>0.25</v>
      </c>
      <c r="X118">
        <f>D118 - C118</f>
        <v>4</v>
      </c>
      <c r="Y118">
        <f>O118 * P118 * (1 - W118)</f>
        <v>3590.9324999999999</v>
      </c>
      <c r="Z118">
        <f>Y118 - S118</f>
        <v>529.54250000000002</v>
      </c>
      <c r="AA118">
        <f>IFERROR(Z118 / Y118, 0)</f>
        <v>0.14746657031286442</v>
      </c>
      <c r="AB118" t="str">
        <f>TEXT(C118, "mmmm")</f>
        <v>February</v>
      </c>
      <c r="AC118">
        <f>YEAR(C118)</f>
        <v>2025</v>
      </c>
      <c r="AD118" t="str">
        <f>IF(X118&lt;0, "Invalid: Ship Date Before Order Date", IF(W118&lt;0, "Invalid: Negative Discount", IF(W118&gt;0.5, "Invalid: Exceeds Allowed Discount", "OK")))</f>
        <v>OK</v>
      </c>
    </row>
    <row r="119" spans="1:30">
      <c r="A119" t="s">
        <v>676</v>
      </c>
      <c r="B119" t="str">
        <f t="shared" si="1"/>
        <v>Unique</v>
      </c>
      <c r="C119" s="3">
        <v>45337</v>
      </c>
      <c r="D119" s="3">
        <v>45339</v>
      </c>
      <c r="E119" t="s">
        <v>679</v>
      </c>
      <c r="F119" t="s">
        <v>40</v>
      </c>
      <c r="G119" t="s">
        <v>115</v>
      </c>
      <c r="H119" t="s">
        <v>62</v>
      </c>
      <c r="I119" t="s">
        <v>339</v>
      </c>
      <c r="J119" t="s">
        <v>340</v>
      </c>
      <c r="K119" t="s">
        <v>86</v>
      </c>
      <c r="L119" t="s">
        <v>382</v>
      </c>
      <c r="M119" t="s">
        <v>680</v>
      </c>
      <c r="N119" t="s">
        <v>67</v>
      </c>
      <c r="O119">
        <v>9</v>
      </c>
      <c r="P119">
        <v>3324.55</v>
      </c>
      <c r="Q119" t="s">
        <v>681</v>
      </c>
      <c r="R119">
        <v>25432.81</v>
      </c>
      <c r="S119">
        <v>20370.16</v>
      </c>
      <c r="T119">
        <v>5062.6499999999996</v>
      </c>
      <c r="U119" t="s">
        <v>34</v>
      </c>
      <c r="V119" t="s">
        <v>35</v>
      </c>
      <c r="W119">
        <f>IF(ISBLANK(Q119), 0, IFERROR(VALUE(Q119), 0.7))</f>
        <v>0.7</v>
      </c>
      <c r="X119">
        <f>D119 - C119</f>
        <v>2</v>
      </c>
      <c r="Y119">
        <f>O119 * P119 * (1 - W119)</f>
        <v>8976.2850000000017</v>
      </c>
      <c r="Z119">
        <f>Y119 - S119</f>
        <v>-11393.874999999998</v>
      </c>
      <c r="AA119">
        <f>IFERROR(Z119 / Y119, 0)</f>
        <v>-1.2693307977632167</v>
      </c>
      <c r="AB119" t="str">
        <f>TEXT(C119, "mmmm")</f>
        <v>February</v>
      </c>
      <c r="AC119">
        <f>YEAR(C119)</f>
        <v>2024</v>
      </c>
      <c r="AD119" t="str">
        <f>IF(X119&lt;0, "Invalid: Ship Date Before Order Date", IF(W119&lt;0, "Invalid: Negative Discount", IF(W119&gt;0.5, "Invalid: Exceeds Allowed Discount", "OK")))</f>
        <v>Invalid: Exceeds Allowed Discount</v>
      </c>
    </row>
    <row r="120" spans="1:30">
      <c r="A120" t="s">
        <v>682</v>
      </c>
      <c r="B120" t="str">
        <f t="shared" si="1"/>
        <v>Unique</v>
      </c>
      <c r="C120" s="3">
        <v>45453</v>
      </c>
      <c r="D120" s="3">
        <v>45461</v>
      </c>
      <c r="E120" t="s">
        <v>685</v>
      </c>
      <c r="F120" t="s">
        <v>83</v>
      </c>
      <c r="G120" t="s">
        <v>115</v>
      </c>
      <c r="H120" t="s">
        <v>62</v>
      </c>
      <c r="I120" t="s">
        <v>100</v>
      </c>
      <c r="J120" t="s">
        <v>101</v>
      </c>
      <c r="K120" t="s">
        <v>86</v>
      </c>
      <c r="L120" t="s">
        <v>94</v>
      </c>
      <c r="M120" t="s">
        <v>687</v>
      </c>
      <c r="N120" t="s">
        <v>48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34</v>
      </c>
      <c r="V120" t="s">
        <v>35</v>
      </c>
      <c r="W120">
        <f>IF(ISBLANK(Q120), 0, IFERROR(VALUE(Q120), 0.7))</f>
        <v>0.2</v>
      </c>
      <c r="X120">
        <f>D120 - C120</f>
        <v>8</v>
      </c>
      <c r="Y120">
        <f>O120 * P120 * (1 - W120)</f>
        <v>6321.0800000000008</v>
      </c>
      <c r="Z120">
        <f>Y120 - S120</f>
        <v>1913.8600000000006</v>
      </c>
      <c r="AA120">
        <f>IFERROR(Z120 / Y120, 0)</f>
        <v>0.30277420947053357</v>
      </c>
      <c r="AB120" t="str">
        <f>TEXT(C120, "mmmm")</f>
        <v>June</v>
      </c>
      <c r="AC120">
        <f>YEAR(C120)</f>
        <v>2024</v>
      </c>
      <c r="AD120" t="str">
        <f>IF(X120&lt;0, "Invalid: Ship Date Before Order Date", IF(W120&lt;0, "Invalid: Negative Discount", IF(W120&gt;0.5, "Invalid: Exceeds Allowed Discount", "OK")))</f>
        <v>OK</v>
      </c>
    </row>
    <row r="121" spans="1:30">
      <c r="A121" t="s">
        <v>688</v>
      </c>
      <c r="B121" t="str">
        <f t="shared" si="1"/>
        <v>Unique</v>
      </c>
      <c r="C121" s="3">
        <v>45455</v>
      </c>
      <c r="D121" s="3">
        <v>45462</v>
      </c>
      <c r="E121" t="s">
        <v>691</v>
      </c>
      <c r="F121" t="s">
        <v>107</v>
      </c>
      <c r="G121" t="s">
        <v>41</v>
      </c>
      <c r="H121" t="s">
        <v>62</v>
      </c>
      <c r="I121" t="s">
        <v>242</v>
      </c>
      <c r="J121" t="s">
        <v>243</v>
      </c>
      <c r="K121" t="s">
        <v>45</v>
      </c>
      <c r="L121" t="s">
        <v>76</v>
      </c>
      <c r="M121" t="s">
        <v>692</v>
      </c>
      <c r="N121" t="s">
        <v>67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124</v>
      </c>
      <c r="V121" t="s">
        <v>125</v>
      </c>
      <c r="W121">
        <f>IF(ISBLANK(Q121), 0, IFERROR(VALUE(Q121), 0.7))</f>
        <v>0.25</v>
      </c>
      <c r="X121">
        <f>D121 - C121</f>
        <v>7</v>
      </c>
      <c r="Y121">
        <f>O121 * P121 * (1 - W121)</f>
        <v>1884.3000000000002</v>
      </c>
      <c r="Z121">
        <f>Y121 - S121</f>
        <v>366.61000000000013</v>
      </c>
      <c r="AA121">
        <f>IFERROR(Z121 / Y121, 0)</f>
        <v>0.19456031417502526</v>
      </c>
      <c r="AB121" t="str">
        <f>TEXT(C121, "mmmm")</f>
        <v>June</v>
      </c>
      <c r="AC121">
        <f>YEAR(C121)</f>
        <v>2024</v>
      </c>
      <c r="AD121" t="str">
        <f>IF(X121&lt;0, "Invalid: Ship Date Before Order Date", IF(W121&lt;0, "Invalid: Negative Discount", IF(W121&gt;0.5, "Invalid: Exceeds Allowed Discount", "OK")))</f>
        <v>OK</v>
      </c>
    </row>
    <row r="122" spans="1:30">
      <c r="A122" t="s">
        <v>693</v>
      </c>
      <c r="B122" t="str">
        <f t="shared" si="1"/>
        <v>Unique</v>
      </c>
      <c r="C122" s="3">
        <v>45514</v>
      </c>
      <c r="D122" s="3">
        <v>45522</v>
      </c>
      <c r="E122" t="s">
        <v>695</v>
      </c>
      <c r="F122" t="s">
        <v>168</v>
      </c>
      <c r="G122" t="s">
        <v>41</v>
      </c>
      <c r="H122" t="s">
        <v>42</v>
      </c>
      <c r="I122" t="s">
        <v>186</v>
      </c>
      <c r="J122" t="s">
        <v>187</v>
      </c>
      <c r="K122" t="s">
        <v>86</v>
      </c>
      <c r="L122" t="s">
        <v>223</v>
      </c>
      <c r="M122" t="s">
        <v>696</v>
      </c>
      <c r="N122" t="s">
        <v>67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34</v>
      </c>
      <c r="V122" t="s">
        <v>125</v>
      </c>
      <c r="W122">
        <f>IF(ISBLANK(Q122), 0, IFERROR(VALUE(Q122), 0.7))</f>
        <v>0.2</v>
      </c>
      <c r="X122">
        <f>D122 - C122</f>
        <v>8</v>
      </c>
      <c r="Y122">
        <f>O122 * P122 * (1 - W122)</f>
        <v>1458.9360000000001</v>
      </c>
      <c r="Z122">
        <f>Y122 - S122</f>
        <v>565.7360000000001</v>
      </c>
      <c r="AA122">
        <f>IFERROR(Z122 / Y122, 0)</f>
        <v>0.38777300717783375</v>
      </c>
      <c r="AB122" t="str">
        <f>TEXT(C122, "mmmm")</f>
        <v>August</v>
      </c>
      <c r="AC122">
        <f>YEAR(C122)</f>
        <v>2024</v>
      </c>
      <c r="AD122" t="str">
        <f>IF(X122&lt;0, "Invalid: Ship Date Before Order Date", IF(W122&lt;0, "Invalid: Negative Discount", IF(W122&gt;0.5, "Invalid: Exceeds Allowed Discount", "OK")))</f>
        <v>OK</v>
      </c>
    </row>
    <row r="123" spans="1:30">
      <c r="A123" t="s">
        <v>697</v>
      </c>
      <c r="B123" t="str">
        <f t="shared" si="1"/>
        <v>Unique</v>
      </c>
      <c r="C123" s="3">
        <v>45891</v>
      </c>
      <c r="D123" s="3">
        <v>45895</v>
      </c>
      <c r="E123" t="s">
        <v>700</v>
      </c>
      <c r="F123" t="s">
        <v>366</v>
      </c>
      <c r="G123" t="s">
        <v>41</v>
      </c>
      <c r="H123" t="s">
        <v>62</v>
      </c>
      <c r="I123" t="s">
        <v>100</v>
      </c>
      <c r="J123" t="s">
        <v>101</v>
      </c>
      <c r="K123" t="s">
        <v>86</v>
      </c>
      <c r="L123" t="s">
        <v>382</v>
      </c>
      <c r="M123" t="s">
        <v>702</v>
      </c>
      <c r="N123" t="s">
        <v>33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124</v>
      </c>
      <c r="V123" t="s">
        <v>78</v>
      </c>
      <c r="W123">
        <f>IF(ISBLANK(Q123), 0, IFERROR(VALUE(Q123), 0.7))</f>
        <v>0</v>
      </c>
      <c r="X123">
        <f>D123 - C123</f>
        <v>4</v>
      </c>
      <c r="Y123">
        <f>O123 * P123 * (1 - W123)</f>
        <v>17414.599999999999</v>
      </c>
      <c r="Z123">
        <f>Y123 - S123</f>
        <v>5653.6899999999987</v>
      </c>
      <c r="AA123">
        <f>IFERROR(Z123 / Y123, 0)</f>
        <v>0.3246523032398102</v>
      </c>
      <c r="AB123" t="str">
        <f>TEXT(C123, "mmmm")</f>
        <v>August</v>
      </c>
      <c r="AC123">
        <f>YEAR(C123)</f>
        <v>2025</v>
      </c>
      <c r="AD123" t="str">
        <f>IF(X123&lt;0, "Invalid: Ship Date Before Order Date", IF(W123&lt;0, "Invalid: Negative Discount", IF(W123&gt;0.5, "Invalid: Exceeds Allowed Discount", "OK")))</f>
        <v>OK</v>
      </c>
    </row>
    <row r="124" spans="1:30">
      <c r="A124" t="s">
        <v>703</v>
      </c>
      <c r="B124" t="str">
        <f t="shared" si="1"/>
        <v>Unique</v>
      </c>
      <c r="C124" s="3">
        <v>45626</v>
      </c>
      <c r="D124" s="3">
        <v>45394</v>
      </c>
      <c r="E124" t="s">
        <v>706</v>
      </c>
      <c r="F124" t="s">
        <v>72</v>
      </c>
      <c r="G124" t="s">
        <v>41</v>
      </c>
      <c r="H124" t="s">
        <v>42</v>
      </c>
      <c r="I124" t="s">
        <v>216</v>
      </c>
      <c r="J124" t="s">
        <v>217</v>
      </c>
      <c r="K124" t="s">
        <v>45</v>
      </c>
      <c r="L124" t="s">
        <v>76</v>
      </c>
      <c r="M124" t="s">
        <v>707</v>
      </c>
      <c r="N124" t="s">
        <v>33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34</v>
      </c>
      <c r="V124" t="s">
        <v>35</v>
      </c>
      <c r="W124">
        <f>IF(ISBLANK(Q124), 0, IFERROR(VALUE(Q124), 0.7))</f>
        <v>0</v>
      </c>
      <c r="X124">
        <f>D124 - C124</f>
        <v>-232</v>
      </c>
      <c r="Y124">
        <f>O124 * P124 * (1 - W124)</f>
        <v>511.04999999999995</v>
      </c>
      <c r="Z124">
        <f>Y124 - S124</f>
        <v>143.86999999999995</v>
      </c>
      <c r="AA124">
        <f>IFERROR(Z124 / Y124, 0)</f>
        <v>0.28151844242246349</v>
      </c>
      <c r="AB124" t="str">
        <f>TEXT(C124, "mmmm")</f>
        <v>November</v>
      </c>
      <c r="AC124">
        <f>YEAR(C124)</f>
        <v>2024</v>
      </c>
      <c r="AD124" t="str">
        <f>IF(X124&lt;0, "Invalid: Ship Date Before Order Date", IF(W124&lt;0, "Invalid: Negative Discount", IF(W124&gt;0.5, "Invalid: Exceeds Allowed Discount", "OK")))</f>
        <v>Invalid: Ship Date Before Order Date</v>
      </c>
    </row>
    <row r="125" spans="1:30">
      <c r="A125" t="s">
        <v>708</v>
      </c>
      <c r="B125" t="str">
        <f t="shared" si="1"/>
        <v>Review: Duplicate Order ID</v>
      </c>
      <c r="C125" s="3">
        <v>45436</v>
      </c>
      <c r="D125" s="3">
        <v>45437</v>
      </c>
      <c r="E125" t="s">
        <v>711</v>
      </c>
      <c r="F125" t="s">
        <v>168</v>
      </c>
      <c r="G125" t="s">
        <v>41</v>
      </c>
      <c r="H125" t="s">
        <v>27</v>
      </c>
      <c r="I125" t="s">
        <v>154</v>
      </c>
      <c r="J125" t="s">
        <v>155</v>
      </c>
      <c r="K125" t="s">
        <v>86</v>
      </c>
      <c r="L125" t="s">
        <v>94</v>
      </c>
      <c r="M125" t="s">
        <v>713</v>
      </c>
      <c r="N125" t="s">
        <v>48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124</v>
      </c>
      <c r="V125" t="s">
        <v>78</v>
      </c>
      <c r="W125">
        <f>IF(ISBLANK(Q125), 0, IFERROR(VALUE(Q125), 0.7))</f>
        <v>0</v>
      </c>
      <c r="X125">
        <f>D125 - C125</f>
        <v>1</v>
      </c>
      <c r="Y125">
        <f>O125 * P125 * (1 - W125)</f>
        <v>634.13</v>
      </c>
      <c r="Z125">
        <f>Y125 - S125</f>
        <v>180.77999999999997</v>
      </c>
      <c r="AA125">
        <f>IFERROR(Z125 / Y125, 0)</f>
        <v>0.28508350022865969</v>
      </c>
      <c r="AB125" t="str">
        <f>TEXT(C125, "mmmm")</f>
        <v>May</v>
      </c>
      <c r="AC125">
        <f>YEAR(C125)</f>
        <v>2024</v>
      </c>
      <c r="AD125" t="str">
        <f>IF(X125&lt;0, "Invalid: Ship Date Before Order Date", IF(W125&lt;0, "Invalid: Negative Discount", IF(W125&gt;0.5, "Invalid: Exceeds Allowed Discount", "OK")))</f>
        <v>OK</v>
      </c>
    </row>
    <row r="126" spans="1:30">
      <c r="A126" t="s">
        <v>714</v>
      </c>
      <c r="B126" t="str">
        <f t="shared" si="1"/>
        <v>Unique</v>
      </c>
      <c r="C126" s="3">
        <v>45494</v>
      </c>
      <c r="D126" s="3">
        <v>45497</v>
      </c>
      <c r="E126" t="s">
        <v>716</v>
      </c>
      <c r="F126" t="s">
        <v>53</v>
      </c>
      <c r="G126" t="s">
        <v>108</v>
      </c>
      <c r="H126" t="s">
        <v>62</v>
      </c>
      <c r="I126" t="s">
        <v>229</v>
      </c>
      <c r="J126" t="s">
        <v>230</v>
      </c>
      <c r="K126" t="s">
        <v>86</v>
      </c>
      <c r="L126" t="s">
        <v>94</v>
      </c>
      <c r="M126" t="s">
        <v>717</v>
      </c>
      <c r="N126" t="s">
        <v>67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34</v>
      </c>
      <c r="V126" t="s">
        <v>35</v>
      </c>
      <c r="W126">
        <f>IF(ISBLANK(Q126), 0, IFERROR(VALUE(Q126), 0.7))</f>
        <v>-0.15</v>
      </c>
      <c r="X126">
        <f>D126 - C126</f>
        <v>3</v>
      </c>
      <c r="Y126">
        <f>O126 * P126 * (1 - W126)</f>
        <v>4813.3709999999992</v>
      </c>
      <c r="Z126">
        <f>Y126 - S126</f>
        <v>1369.6309999999994</v>
      </c>
      <c r="AA126">
        <f>IFERROR(Z126 / Y126, 0)</f>
        <v>0.28454715001191466</v>
      </c>
      <c r="AB126" t="str">
        <f>TEXT(C126, "mmmm")</f>
        <v>July</v>
      </c>
      <c r="AC126">
        <f>YEAR(C126)</f>
        <v>2024</v>
      </c>
      <c r="AD126" t="str">
        <f>IF(X126&lt;0, "Invalid: Ship Date Before Order Date", IF(W126&lt;0, "Invalid: Negative Discount", IF(W126&gt;0.5, "Invalid: Exceeds Allowed Discount", "OK")))</f>
        <v>Invalid: Negative Discount</v>
      </c>
    </row>
    <row r="127" spans="1:30">
      <c r="A127" t="s">
        <v>718</v>
      </c>
      <c r="B127" t="str">
        <f t="shared" si="1"/>
        <v>Unique</v>
      </c>
      <c r="C127" s="3">
        <v>45855</v>
      </c>
      <c r="D127" s="3">
        <v>45856</v>
      </c>
      <c r="E127" t="s">
        <v>721</v>
      </c>
      <c r="F127" t="s">
        <v>93</v>
      </c>
      <c r="G127" t="s">
        <v>41</v>
      </c>
      <c r="H127" t="s">
        <v>73</v>
      </c>
      <c r="I127" t="s">
        <v>28</v>
      </c>
      <c r="J127" t="s">
        <v>135</v>
      </c>
      <c r="K127" t="s">
        <v>45</v>
      </c>
      <c r="L127" t="s">
        <v>46</v>
      </c>
      <c r="M127" t="s">
        <v>722</v>
      </c>
      <c r="N127" t="s">
        <v>48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124</v>
      </c>
      <c r="V127" t="s">
        <v>125</v>
      </c>
      <c r="W127">
        <f>IF(ISBLANK(Q127), 0, IFERROR(VALUE(Q127), 0.7))</f>
        <v>0.25</v>
      </c>
      <c r="X127">
        <f>D127 - C127</f>
        <v>1</v>
      </c>
      <c r="Y127">
        <f>O127 * P127 * (1 - W127)</f>
        <v>14558.715</v>
      </c>
      <c r="Z127">
        <f>Y127 - S127</f>
        <v>4967.2350000000006</v>
      </c>
      <c r="AA127">
        <f>IFERROR(Z127 / Y127, 0)</f>
        <v>0.34118636157105903</v>
      </c>
      <c r="AB127" t="str">
        <f>TEXT(C127, "mmmm")</f>
        <v>July</v>
      </c>
      <c r="AC127">
        <f>YEAR(C127)</f>
        <v>2025</v>
      </c>
      <c r="AD127" t="str">
        <f>IF(X127&lt;0, "Invalid: Ship Date Before Order Date", IF(W127&lt;0, "Invalid: Negative Discount", IF(W127&gt;0.5, "Invalid: Exceeds Allowed Discount", "OK")))</f>
        <v>OK</v>
      </c>
    </row>
    <row r="128" spans="1:30">
      <c r="A128" t="s">
        <v>723</v>
      </c>
      <c r="B128" t="str">
        <f t="shared" si="1"/>
        <v>Unique</v>
      </c>
      <c r="C128" s="3">
        <v>45924</v>
      </c>
      <c r="D128" s="3">
        <v>45926</v>
      </c>
      <c r="E128" t="s">
        <v>726</v>
      </c>
      <c r="F128" t="s">
        <v>142</v>
      </c>
      <c r="G128" t="s">
        <v>108</v>
      </c>
      <c r="H128" t="s">
        <v>27</v>
      </c>
      <c r="I128" t="s">
        <v>506</v>
      </c>
      <c r="J128" t="s">
        <v>507</v>
      </c>
      <c r="K128" t="s">
        <v>86</v>
      </c>
      <c r="L128" t="s">
        <v>94</v>
      </c>
      <c r="M128" t="s">
        <v>727</v>
      </c>
      <c r="N128" t="s">
        <v>67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34</v>
      </c>
      <c r="V128" t="s">
        <v>35</v>
      </c>
      <c r="W128">
        <f>IF(ISBLANK(Q128), 0, IFERROR(VALUE(Q128), 0.7))</f>
        <v>0.1</v>
      </c>
      <c r="X128">
        <f>D128 - C128</f>
        <v>2</v>
      </c>
      <c r="Y128">
        <f>O128 * P128 * (1 - W128)</f>
        <v>4303.4220000000005</v>
      </c>
      <c r="Z128">
        <f>Y128 - S128</f>
        <v>1734.8520000000003</v>
      </c>
      <c r="AA128">
        <f>IFERROR(Z128 / Y128, 0)</f>
        <v>0.40313313451481175</v>
      </c>
      <c r="AB128" t="str">
        <f>TEXT(C128, "mmmm")</f>
        <v>September</v>
      </c>
      <c r="AC128">
        <f>YEAR(C128)</f>
        <v>2025</v>
      </c>
      <c r="AD128" t="str">
        <f>IF(X128&lt;0, "Invalid: Ship Date Before Order Date", IF(W128&lt;0, "Invalid: Negative Discount", IF(W128&gt;0.5, "Invalid: Exceeds Allowed Discount", "OK")))</f>
        <v>OK</v>
      </c>
    </row>
    <row r="129" spans="1:30">
      <c r="A129" t="s">
        <v>728</v>
      </c>
      <c r="B129" t="str">
        <f t="shared" si="1"/>
        <v>Unique</v>
      </c>
      <c r="C129" s="3">
        <v>45687</v>
      </c>
      <c r="D129" s="3">
        <v>45683</v>
      </c>
      <c r="E129" t="s">
        <v>730</v>
      </c>
      <c r="F129" t="s">
        <v>142</v>
      </c>
      <c r="G129" t="s">
        <v>108</v>
      </c>
      <c r="H129" t="s">
        <v>73</v>
      </c>
      <c r="I129" t="s">
        <v>84</v>
      </c>
      <c r="J129" t="s">
        <v>85</v>
      </c>
      <c r="K129" t="s">
        <v>30</v>
      </c>
      <c r="L129" t="s">
        <v>156</v>
      </c>
      <c r="M129" t="s">
        <v>731</v>
      </c>
      <c r="N129" t="s">
        <v>33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34</v>
      </c>
      <c r="V129" t="s">
        <v>35</v>
      </c>
      <c r="W129">
        <f>IF(ISBLANK(Q129), 0, IFERROR(VALUE(Q129), 0.7))</f>
        <v>0.05</v>
      </c>
      <c r="X129">
        <f>D129 - C129</f>
        <v>-4</v>
      </c>
      <c r="Y129">
        <f>O129 * P129 * (1 - W129)</f>
        <v>5774.67</v>
      </c>
      <c r="Z129">
        <f>Y129 - S129</f>
        <v>2256.31</v>
      </c>
      <c r="AA129">
        <f>IFERROR(Z129 / Y129, 0)</f>
        <v>0.39072535746631409</v>
      </c>
      <c r="AB129" t="str">
        <f>TEXT(C129, "mmmm")</f>
        <v>January</v>
      </c>
      <c r="AC129">
        <f>YEAR(C129)</f>
        <v>2025</v>
      </c>
      <c r="AD129" t="str">
        <f>IF(X129&lt;0, "Invalid: Ship Date Before Order Date", IF(W129&lt;0, "Invalid: Negative Discount", IF(W129&gt;0.5, "Invalid: Exceeds Allowed Discount", "OK")))</f>
        <v>Invalid: Ship Date Before Order Date</v>
      </c>
    </row>
    <row r="130" spans="1:30">
      <c r="A130" t="s">
        <v>732</v>
      </c>
      <c r="B130" t="str">
        <f t="shared" si="1"/>
        <v>Unique</v>
      </c>
      <c r="C130" s="3">
        <v>45639</v>
      </c>
      <c r="D130" s="3">
        <v>45642</v>
      </c>
      <c r="E130" t="s">
        <v>735</v>
      </c>
      <c r="F130" t="s">
        <v>93</v>
      </c>
      <c r="G130" t="s">
        <v>41</v>
      </c>
      <c r="H130" t="s">
        <v>42</v>
      </c>
      <c r="I130" t="s">
        <v>43</v>
      </c>
      <c r="J130" t="s">
        <v>44</v>
      </c>
      <c r="K130" t="s">
        <v>45</v>
      </c>
      <c r="L130" t="s">
        <v>65</v>
      </c>
      <c r="M130" t="s">
        <v>736</v>
      </c>
      <c r="N130" t="s">
        <v>67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34</v>
      </c>
      <c r="V130" t="s">
        <v>125</v>
      </c>
      <c r="W130">
        <f>IF(ISBLANK(Q130), 0, IFERROR(VALUE(Q130), 0.7))</f>
        <v>0.05</v>
      </c>
      <c r="X130">
        <f>D130 - C130</f>
        <v>3</v>
      </c>
      <c r="Y130">
        <f>O130 * P130 * (1 - W130)</f>
        <v>4386.3874999999998</v>
      </c>
      <c r="Z130">
        <f>Y130 - S130</f>
        <v>1019.5074999999997</v>
      </c>
      <c r="AA130">
        <f>IFERROR(Z130 / Y130, 0)</f>
        <v>0.2324253158208206</v>
      </c>
      <c r="AB130" t="str">
        <f>TEXT(C130, "mmmm")</f>
        <v>December</v>
      </c>
      <c r="AC130">
        <f>YEAR(C130)</f>
        <v>2024</v>
      </c>
      <c r="AD130" t="str">
        <f>IF(X130&lt;0, "Invalid: Ship Date Before Order Date", IF(W130&lt;0, "Invalid: Negative Discount", IF(W130&gt;0.5, "Invalid: Exceeds Allowed Discount", "OK")))</f>
        <v>OK</v>
      </c>
    </row>
    <row r="131" spans="1:30">
      <c r="A131" t="s">
        <v>737</v>
      </c>
      <c r="B131" t="str">
        <f t="shared" ref="B131:B194" si="2">IF(COUNTIF(A:A, A131)&gt;1, "Review: Duplicate Order ID", "Unique")</f>
        <v>Unique</v>
      </c>
      <c r="C131" s="3">
        <v>45492</v>
      </c>
      <c r="D131" s="3">
        <v>45498</v>
      </c>
      <c r="E131" t="s">
        <v>739</v>
      </c>
      <c r="F131" t="s">
        <v>53</v>
      </c>
      <c r="G131" t="s">
        <v>41</v>
      </c>
      <c r="H131" t="s">
        <v>73</v>
      </c>
      <c r="I131" t="s">
        <v>249</v>
      </c>
      <c r="J131" t="s">
        <v>250</v>
      </c>
      <c r="K131" t="s">
        <v>30</v>
      </c>
      <c r="L131" t="s">
        <v>198</v>
      </c>
      <c r="M131" t="s">
        <v>740</v>
      </c>
      <c r="N131" t="s">
        <v>67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34</v>
      </c>
      <c r="V131" t="s">
        <v>35</v>
      </c>
      <c r="W131">
        <f>IF(ISBLANK(Q131), 0, IFERROR(VALUE(Q131), 0.7))</f>
        <v>0.05</v>
      </c>
      <c r="X131">
        <f>D131 - C131</f>
        <v>6</v>
      </c>
      <c r="Y131">
        <f>O131 * P131 * (1 - W131)</f>
        <v>18229.5785</v>
      </c>
      <c r="Z131">
        <f>Y131 - S131</f>
        <v>3090.4285</v>
      </c>
      <c r="AA131">
        <f>IFERROR(Z131 / Y131, 0)</f>
        <v>0.16952824773211295</v>
      </c>
      <c r="AB131" t="str">
        <f>TEXT(C131, "mmmm")</f>
        <v>July</v>
      </c>
      <c r="AC131">
        <f>YEAR(C131)</f>
        <v>2024</v>
      </c>
      <c r="AD131" t="str">
        <f>IF(X131&lt;0, "Invalid: Ship Date Before Order Date", IF(W131&lt;0, "Invalid: Negative Discount", IF(W131&gt;0.5, "Invalid: Exceeds Allowed Discount", "OK")))</f>
        <v>OK</v>
      </c>
    </row>
    <row r="132" spans="1:30">
      <c r="A132" t="s">
        <v>741</v>
      </c>
      <c r="B132" t="str">
        <f t="shared" si="2"/>
        <v>Unique</v>
      </c>
      <c r="C132" s="3">
        <v>45318</v>
      </c>
      <c r="D132" s="3">
        <v>45324</v>
      </c>
      <c r="E132" t="s">
        <v>744</v>
      </c>
      <c r="F132" t="s">
        <v>61</v>
      </c>
      <c r="G132" t="s">
        <v>26</v>
      </c>
      <c r="H132" t="s">
        <v>73</v>
      </c>
      <c r="I132" t="s">
        <v>235</v>
      </c>
      <c r="J132" t="s">
        <v>236</v>
      </c>
      <c r="K132" t="s">
        <v>30</v>
      </c>
      <c r="L132" t="s">
        <v>109</v>
      </c>
      <c r="M132" t="s">
        <v>745</v>
      </c>
      <c r="N132" t="s">
        <v>48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137</v>
      </c>
      <c r="V132" t="s">
        <v>78</v>
      </c>
      <c r="W132">
        <f>IF(ISBLANK(Q132), 0, IFERROR(VALUE(Q132), 0.7))</f>
        <v>0.2</v>
      </c>
      <c r="X132">
        <f>D132 - C132</f>
        <v>6</v>
      </c>
      <c r="Y132">
        <f>O132 * P132 * (1 - W132)</f>
        <v>873.68</v>
      </c>
      <c r="Z132">
        <f>Y132 - S132</f>
        <v>211.95999999999992</v>
      </c>
      <c r="AA132">
        <f>IFERROR(Z132 / Y132, 0)</f>
        <v>0.24260598846259493</v>
      </c>
      <c r="AB132" t="str">
        <f>TEXT(C132, "mmmm")</f>
        <v>January</v>
      </c>
      <c r="AC132">
        <f>YEAR(C132)</f>
        <v>2024</v>
      </c>
      <c r="AD132" t="str">
        <f>IF(X132&lt;0, "Invalid: Ship Date Before Order Date", IF(W132&lt;0, "Invalid: Negative Discount", IF(W132&gt;0.5, "Invalid: Exceeds Allowed Discount", "OK")))</f>
        <v>OK</v>
      </c>
    </row>
    <row r="133" spans="1:30">
      <c r="A133" t="s">
        <v>746</v>
      </c>
      <c r="B133" t="str">
        <f t="shared" si="2"/>
        <v>Unique</v>
      </c>
      <c r="C133" s="3">
        <v>45929</v>
      </c>
      <c r="D133" s="3">
        <v>45934</v>
      </c>
      <c r="E133" t="s">
        <v>749</v>
      </c>
      <c r="F133" t="s">
        <v>72</v>
      </c>
      <c r="G133" t="s">
        <v>115</v>
      </c>
      <c r="H133" t="s">
        <v>42</v>
      </c>
      <c r="I133" t="s">
        <v>311</v>
      </c>
      <c r="J133" t="s">
        <v>312</v>
      </c>
      <c r="K133" t="s">
        <v>30</v>
      </c>
      <c r="L133" t="s">
        <v>31</v>
      </c>
      <c r="M133" t="s">
        <v>750</v>
      </c>
      <c r="N133" t="s">
        <v>48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34</v>
      </c>
      <c r="V133" t="s">
        <v>35</v>
      </c>
      <c r="W133">
        <f>IF(ISBLANK(Q133), 0, IFERROR(VALUE(Q133), 0.7))</f>
        <v>0.2</v>
      </c>
      <c r="X133">
        <f>D133 - C133</f>
        <v>5</v>
      </c>
      <c r="Y133">
        <f>O133 * P133 * (1 - W133)</f>
        <v>2692.152</v>
      </c>
      <c r="Z133">
        <f>Y133 - S133</f>
        <v>647.66200000000003</v>
      </c>
      <c r="AA133">
        <f>IFERROR(Z133 / Y133, 0)</f>
        <v>0.24057408348414205</v>
      </c>
      <c r="AB133" t="str">
        <f>TEXT(C133, "mmmm")</f>
        <v>September</v>
      </c>
      <c r="AC133">
        <f>YEAR(C133)</f>
        <v>2025</v>
      </c>
      <c r="AD133" t="str">
        <f>IF(X133&lt;0, "Invalid: Ship Date Before Order Date", IF(W133&lt;0, "Invalid: Negative Discount", IF(W133&gt;0.5, "Invalid: Exceeds Allowed Discount", "OK")))</f>
        <v>OK</v>
      </c>
    </row>
    <row r="134" spans="1:30">
      <c r="A134" t="s">
        <v>751</v>
      </c>
      <c r="B134" t="str">
        <f t="shared" si="2"/>
        <v>Unique</v>
      </c>
      <c r="C134" s="3">
        <v>45600</v>
      </c>
      <c r="D134" s="3">
        <v>45600</v>
      </c>
      <c r="E134" t="s">
        <v>753</v>
      </c>
      <c r="F134" t="s">
        <v>366</v>
      </c>
      <c r="G134" t="s">
        <v>108</v>
      </c>
      <c r="H134" t="s">
        <v>42</v>
      </c>
      <c r="I134" t="s">
        <v>216</v>
      </c>
      <c r="J134" t="s">
        <v>217</v>
      </c>
      <c r="K134" t="s">
        <v>86</v>
      </c>
      <c r="L134" t="s">
        <v>382</v>
      </c>
      <c r="M134" t="s">
        <v>754</v>
      </c>
      <c r="N134" t="s">
        <v>56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200</v>
      </c>
      <c r="V134" t="s">
        <v>78</v>
      </c>
      <c r="W134">
        <f>IF(ISBLANK(Q134), 0, IFERROR(VALUE(Q134), 0.7))</f>
        <v>0</v>
      </c>
      <c r="X134">
        <f>D134 - C134</f>
        <v>0</v>
      </c>
      <c r="Y134">
        <f>O134 * P134 * (1 - W134)</f>
        <v>1066.1600000000001</v>
      </c>
      <c r="Z134">
        <f>Y134 - S134</f>
        <v>409.86000000000013</v>
      </c>
      <c r="AA134">
        <f>IFERROR(Z134 / Y134, 0)</f>
        <v>0.38442635251744589</v>
      </c>
      <c r="AB134" t="str">
        <f>TEXT(C134, "mmmm")</f>
        <v>November</v>
      </c>
      <c r="AC134">
        <f>YEAR(C134)</f>
        <v>2024</v>
      </c>
      <c r="AD134" t="str">
        <f>IF(X134&lt;0, "Invalid: Ship Date Before Order Date", IF(W134&lt;0, "Invalid: Negative Discount", IF(W134&gt;0.5, "Invalid: Exceeds Allowed Discount", "OK")))</f>
        <v>OK</v>
      </c>
    </row>
    <row r="135" spans="1:30">
      <c r="A135" t="s">
        <v>755</v>
      </c>
      <c r="B135" t="str">
        <f t="shared" si="2"/>
        <v>Unique</v>
      </c>
      <c r="C135" s="3">
        <v>45639</v>
      </c>
      <c r="D135" s="3">
        <v>45644</v>
      </c>
      <c r="E135" t="s">
        <v>758</v>
      </c>
      <c r="F135" t="s">
        <v>25</v>
      </c>
      <c r="G135" t="s">
        <v>26</v>
      </c>
      <c r="H135" t="s">
        <v>73</v>
      </c>
      <c r="I135" t="s">
        <v>249</v>
      </c>
      <c r="J135" t="s">
        <v>250</v>
      </c>
      <c r="K135" t="s">
        <v>86</v>
      </c>
      <c r="L135" t="s">
        <v>223</v>
      </c>
      <c r="M135" t="s">
        <v>759</v>
      </c>
      <c r="N135" t="s">
        <v>33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34</v>
      </c>
      <c r="V135" t="s">
        <v>35</v>
      </c>
      <c r="W135">
        <f>IF(ISBLANK(Q135), 0, IFERROR(VALUE(Q135), 0.7))</f>
        <v>0.15</v>
      </c>
      <c r="X135">
        <f>D135 - C135</f>
        <v>5</v>
      </c>
      <c r="Y135">
        <f>O135 * P135 * (1 - W135)</f>
        <v>22930.62</v>
      </c>
      <c r="Z135">
        <f>Y135 - S135</f>
        <v>6055.07</v>
      </c>
      <c r="AA135">
        <f>IFERROR(Z135 / Y135, 0)</f>
        <v>0.26406045715292475</v>
      </c>
      <c r="AB135" t="str">
        <f>TEXT(C135, "mmmm")</f>
        <v>December</v>
      </c>
      <c r="AC135">
        <f>YEAR(C135)</f>
        <v>2024</v>
      </c>
      <c r="AD135" t="str">
        <f>IF(X135&lt;0, "Invalid: Ship Date Before Order Date", IF(W135&lt;0, "Invalid: Negative Discount", IF(W135&gt;0.5, "Invalid: Exceeds Allowed Discount", "OK")))</f>
        <v>OK</v>
      </c>
    </row>
    <row r="136" spans="1:30">
      <c r="A136" t="s">
        <v>760</v>
      </c>
      <c r="B136" t="str">
        <f t="shared" si="2"/>
        <v>Unique</v>
      </c>
      <c r="C136" s="3">
        <v>45852</v>
      </c>
      <c r="D136" s="3">
        <v>45852</v>
      </c>
      <c r="E136" t="s">
        <v>763</v>
      </c>
      <c r="F136" t="s">
        <v>83</v>
      </c>
      <c r="G136" t="s">
        <v>115</v>
      </c>
      <c r="H136" t="s">
        <v>42</v>
      </c>
      <c r="I136" t="s">
        <v>121</v>
      </c>
      <c r="J136" t="s">
        <v>122</v>
      </c>
      <c r="K136" t="s">
        <v>45</v>
      </c>
      <c r="L136" t="s">
        <v>204</v>
      </c>
      <c r="M136" t="s">
        <v>764</v>
      </c>
      <c r="N136" t="s">
        <v>4110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137</v>
      </c>
      <c r="V136" t="s">
        <v>78</v>
      </c>
      <c r="W136">
        <f>IF(ISBLANK(Q136), 0, IFERROR(VALUE(Q136), 0.7))</f>
        <v>0.25</v>
      </c>
      <c r="X136">
        <f>D136 - C136</f>
        <v>0</v>
      </c>
      <c r="Y136">
        <f>O136 * P136 * (1 - W136)</f>
        <v>1436.625</v>
      </c>
      <c r="Z136">
        <f>Y136 - S136</f>
        <v>524.10500000000002</v>
      </c>
      <c r="AA136">
        <f>IFERROR(Z136 / Y136, 0)</f>
        <v>0.36481684503610895</v>
      </c>
      <c r="AB136" t="str">
        <f>TEXT(C136, "mmmm")</f>
        <v>July</v>
      </c>
      <c r="AC136">
        <f>YEAR(C136)</f>
        <v>2025</v>
      </c>
      <c r="AD136" t="str">
        <f>IF(X136&lt;0, "Invalid: Ship Date Before Order Date", IF(W136&lt;0, "Invalid: Negative Discount", IF(W136&gt;0.5, "Invalid: Exceeds Allowed Discount", "OK")))</f>
        <v>OK</v>
      </c>
    </row>
    <row r="137" spans="1:30">
      <c r="A137" t="s">
        <v>765</v>
      </c>
      <c r="B137" t="str">
        <f t="shared" si="2"/>
        <v>Unique</v>
      </c>
      <c r="C137" s="3">
        <v>45893</v>
      </c>
      <c r="D137" s="3">
        <v>45893</v>
      </c>
      <c r="E137" t="s">
        <v>767</v>
      </c>
      <c r="F137" t="s">
        <v>210</v>
      </c>
      <c r="G137" t="s">
        <v>41</v>
      </c>
      <c r="H137" t="s">
        <v>62</v>
      </c>
      <c r="I137" t="s">
        <v>242</v>
      </c>
      <c r="J137" t="s">
        <v>243</v>
      </c>
      <c r="K137" t="s">
        <v>45</v>
      </c>
      <c r="L137" t="s">
        <v>204</v>
      </c>
      <c r="M137" t="s">
        <v>768</v>
      </c>
      <c r="N137" t="s">
        <v>67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34</v>
      </c>
      <c r="V137" t="s">
        <v>35</v>
      </c>
      <c r="W137">
        <f>IF(ISBLANK(Q137), 0, IFERROR(VALUE(Q137), 0.7))</f>
        <v>0</v>
      </c>
      <c r="X137">
        <f>D137 - C137</f>
        <v>0</v>
      </c>
      <c r="Y137">
        <f>O137 * P137 * (1 - W137)</f>
        <v>3424.78</v>
      </c>
      <c r="Z137">
        <f>Y137 - S137</f>
        <v>1473.3300000000002</v>
      </c>
      <c r="AA137">
        <f>IFERROR(Z137 / Y137, 0)</f>
        <v>0.43019697615613267</v>
      </c>
      <c r="AB137" t="str">
        <f>TEXT(C137, "mmmm")</f>
        <v>August</v>
      </c>
      <c r="AC137">
        <f>YEAR(C137)</f>
        <v>2025</v>
      </c>
      <c r="AD137" t="str">
        <f>IF(X137&lt;0, "Invalid: Ship Date Before Order Date", IF(W137&lt;0, "Invalid: Negative Discount", IF(W137&gt;0.5, "Invalid: Exceeds Allowed Discount", "OK")))</f>
        <v>OK</v>
      </c>
    </row>
    <row r="138" spans="1:30">
      <c r="A138" t="s">
        <v>769</v>
      </c>
      <c r="B138" t="str">
        <f t="shared" si="2"/>
        <v>Unique</v>
      </c>
      <c r="C138" s="3">
        <v>45902</v>
      </c>
      <c r="D138" s="3">
        <v>45703</v>
      </c>
      <c r="E138" t="s">
        <v>772</v>
      </c>
      <c r="F138" t="s">
        <v>40</v>
      </c>
      <c r="G138" t="s">
        <v>115</v>
      </c>
      <c r="H138" t="s">
        <v>42</v>
      </c>
      <c r="I138" t="s">
        <v>311</v>
      </c>
      <c r="J138" t="s">
        <v>312</v>
      </c>
      <c r="K138" t="s">
        <v>30</v>
      </c>
      <c r="L138" t="s">
        <v>198</v>
      </c>
      <c r="M138" t="s">
        <v>773</v>
      </c>
      <c r="N138" t="s">
        <v>67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34</v>
      </c>
      <c r="V138" t="s">
        <v>35</v>
      </c>
      <c r="W138">
        <f>IF(ISBLANK(Q138), 0, IFERROR(VALUE(Q138), 0.7))</f>
        <v>0.2</v>
      </c>
      <c r="X138">
        <f>D138 - C138</f>
        <v>-199</v>
      </c>
      <c r="Y138">
        <f>O138 * P138 * (1 - W138)</f>
        <v>31178.376000000004</v>
      </c>
      <c r="Z138">
        <f>Y138 - S138</f>
        <v>9757.2860000000037</v>
      </c>
      <c r="AA138">
        <f>IFERROR(Z138 / Y138, 0)</f>
        <v>0.31295042435821552</v>
      </c>
      <c r="AB138" t="str">
        <f>TEXT(C138, "mmmm")</f>
        <v>September</v>
      </c>
      <c r="AC138">
        <f>YEAR(C138)</f>
        <v>2025</v>
      </c>
      <c r="AD138" t="str">
        <f>IF(X138&lt;0, "Invalid: Ship Date Before Order Date", IF(W138&lt;0, "Invalid: Negative Discount", IF(W138&gt;0.5, "Invalid: Exceeds Allowed Discount", "OK")))</f>
        <v>Invalid: Ship Date Before Order Date</v>
      </c>
    </row>
    <row r="139" spans="1:30">
      <c r="A139" t="s">
        <v>775</v>
      </c>
      <c r="B139" t="str">
        <f t="shared" si="2"/>
        <v>Unique</v>
      </c>
      <c r="C139" s="3">
        <v>45666</v>
      </c>
      <c r="D139" s="3">
        <v>45666</v>
      </c>
      <c r="E139" t="s">
        <v>778</v>
      </c>
      <c r="F139" t="s">
        <v>168</v>
      </c>
      <c r="G139" t="s">
        <v>41</v>
      </c>
      <c r="H139" t="s">
        <v>27</v>
      </c>
      <c r="I139" t="s">
        <v>28</v>
      </c>
      <c r="J139" t="s">
        <v>29</v>
      </c>
      <c r="K139" t="s">
        <v>45</v>
      </c>
      <c r="L139" t="s">
        <v>76</v>
      </c>
      <c r="M139" t="s">
        <v>779</v>
      </c>
      <c r="N139" t="s">
        <v>48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34</v>
      </c>
      <c r="V139" t="s">
        <v>35</v>
      </c>
      <c r="W139">
        <f>IF(ISBLANK(Q139), 0, IFERROR(VALUE(Q139), 0.7))</f>
        <v>0.1</v>
      </c>
      <c r="X139">
        <f>D139 - C139</f>
        <v>0</v>
      </c>
      <c r="Y139">
        <f>O139 * P139 * (1 - W139)</f>
        <v>19202.904000000002</v>
      </c>
      <c r="Z139">
        <f>Y139 - S139</f>
        <v>3676.2840000000015</v>
      </c>
      <c r="AA139">
        <f>IFERROR(Z139 / Y139, 0)</f>
        <v>0.19144416906942829</v>
      </c>
      <c r="AB139" t="str">
        <f>TEXT(C139, "mmmm")</f>
        <v>January</v>
      </c>
      <c r="AC139">
        <f>YEAR(C139)</f>
        <v>2025</v>
      </c>
      <c r="AD139" t="str">
        <f>IF(X139&lt;0, "Invalid: Ship Date Before Order Date", IF(W139&lt;0, "Invalid: Negative Discount", IF(W139&gt;0.5, "Invalid: Exceeds Allowed Discount", "OK")))</f>
        <v>OK</v>
      </c>
    </row>
    <row r="140" spans="1:30">
      <c r="A140" t="s">
        <v>780</v>
      </c>
      <c r="B140" t="str">
        <f t="shared" si="2"/>
        <v>Unique</v>
      </c>
      <c r="C140" s="3">
        <v>45311</v>
      </c>
      <c r="D140" s="3">
        <v>45317</v>
      </c>
      <c r="E140" t="s">
        <v>783</v>
      </c>
      <c r="F140" t="s">
        <v>210</v>
      </c>
      <c r="G140" t="s">
        <v>115</v>
      </c>
      <c r="H140" t="s">
        <v>42</v>
      </c>
      <c r="I140" t="s">
        <v>311</v>
      </c>
      <c r="J140" t="s">
        <v>312</v>
      </c>
      <c r="K140" t="s">
        <v>86</v>
      </c>
      <c r="L140" t="s">
        <v>382</v>
      </c>
      <c r="M140" t="s">
        <v>784</v>
      </c>
      <c r="N140" t="s">
        <v>67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34</v>
      </c>
      <c r="V140" t="s">
        <v>35</v>
      </c>
      <c r="W140">
        <f>IF(ISBLANK(Q140), 0, IFERROR(VALUE(Q140), 0.7))</f>
        <v>0.25</v>
      </c>
      <c r="X140">
        <f>D140 - C140</f>
        <v>6</v>
      </c>
      <c r="Y140">
        <f>O140 * P140 * (1 - W140)</f>
        <v>24018.300000000003</v>
      </c>
      <c r="Z140">
        <f>Y140 - S140</f>
        <v>9947.5200000000023</v>
      </c>
      <c r="AA140">
        <f>IFERROR(Z140 / Y140, 0)</f>
        <v>0.41416419979765434</v>
      </c>
      <c r="AB140" t="str">
        <f>TEXT(C140, "mmmm")</f>
        <v>January</v>
      </c>
      <c r="AC140">
        <f>YEAR(C140)</f>
        <v>2024</v>
      </c>
      <c r="AD140" t="str">
        <f>IF(X140&lt;0, "Invalid: Ship Date Before Order Date", IF(W140&lt;0, "Invalid: Negative Discount", IF(W140&gt;0.5, "Invalid: Exceeds Allowed Discount", "OK")))</f>
        <v>OK</v>
      </c>
    </row>
    <row r="141" spans="1:30">
      <c r="A141" t="s">
        <v>785</v>
      </c>
      <c r="B141" t="str">
        <f t="shared" si="2"/>
        <v>Unique</v>
      </c>
      <c r="C141" s="3">
        <v>45718</v>
      </c>
      <c r="D141" s="3">
        <v>45841</v>
      </c>
      <c r="E141" t="s">
        <v>788</v>
      </c>
      <c r="F141" t="s">
        <v>93</v>
      </c>
      <c r="G141" t="s">
        <v>115</v>
      </c>
      <c r="H141" t="s">
        <v>62</v>
      </c>
      <c r="I141" t="s">
        <v>229</v>
      </c>
      <c r="J141" t="s">
        <v>230</v>
      </c>
      <c r="K141" t="s">
        <v>30</v>
      </c>
      <c r="L141" t="s">
        <v>109</v>
      </c>
      <c r="M141" t="s">
        <v>789</v>
      </c>
      <c r="N141" t="s">
        <v>67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34</v>
      </c>
      <c r="V141" t="s">
        <v>35</v>
      </c>
      <c r="W141">
        <f>IF(ISBLANK(Q141), 0, IFERROR(VALUE(Q141), 0.7))</f>
        <v>0</v>
      </c>
      <c r="X141">
        <f>D141 - C141</f>
        <v>123</v>
      </c>
      <c r="Y141">
        <f>O141 * P141 * (1 - W141)</f>
        <v>10301.040000000001</v>
      </c>
      <c r="Z141">
        <f>Y141 - S141</f>
        <v>3736.9800000000005</v>
      </c>
      <c r="AA141">
        <f>IFERROR(Z141 / Y141, 0)</f>
        <v>0.3627769623261341</v>
      </c>
      <c r="AB141" t="str">
        <f>TEXT(C141, "mmmm")</f>
        <v>March</v>
      </c>
      <c r="AC141">
        <f>YEAR(C141)</f>
        <v>2025</v>
      </c>
      <c r="AD141" t="str">
        <f>IF(X141&lt;0, "Invalid: Ship Date Before Order Date", IF(W141&lt;0, "Invalid: Negative Discount", IF(W141&gt;0.5, "Invalid: Exceeds Allowed Discount", "OK")))</f>
        <v>OK</v>
      </c>
    </row>
    <row r="142" spans="1:30">
      <c r="A142" t="s">
        <v>790</v>
      </c>
      <c r="B142" t="str">
        <f t="shared" si="2"/>
        <v>Unique</v>
      </c>
      <c r="C142" s="3">
        <v>45443</v>
      </c>
      <c r="D142" s="3">
        <v>45444</v>
      </c>
      <c r="E142" t="s">
        <v>793</v>
      </c>
      <c r="F142" t="s">
        <v>40</v>
      </c>
      <c r="G142" t="s">
        <v>108</v>
      </c>
      <c r="H142" t="s">
        <v>62</v>
      </c>
      <c r="I142" t="s">
        <v>229</v>
      </c>
      <c r="J142" t="s">
        <v>230</v>
      </c>
      <c r="K142" t="s">
        <v>45</v>
      </c>
      <c r="L142" t="s">
        <v>204</v>
      </c>
      <c r="M142" t="s">
        <v>794</v>
      </c>
      <c r="N142" t="s">
        <v>48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34</v>
      </c>
      <c r="V142" t="s">
        <v>35</v>
      </c>
      <c r="W142">
        <f>IF(ISBLANK(Q142), 0, IFERROR(VALUE(Q142), 0.7))</f>
        <v>0</v>
      </c>
      <c r="X142">
        <f>D142 - C142</f>
        <v>1</v>
      </c>
      <c r="Y142">
        <f>O142 * P142 * (1 - W142)</f>
        <v>8743.6500000000015</v>
      </c>
      <c r="Z142">
        <f>Y142 - S142</f>
        <v>2139.8900000000012</v>
      </c>
      <c r="AA142">
        <f>IFERROR(Z142 / Y142, 0)</f>
        <v>0.24473646589239059</v>
      </c>
      <c r="AB142" t="str">
        <f>TEXT(C142, "mmmm")</f>
        <v>May</v>
      </c>
      <c r="AC142">
        <f>YEAR(C142)</f>
        <v>2024</v>
      </c>
      <c r="AD142" t="str">
        <f>IF(X142&lt;0, "Invalid: Ship Date Before Order Date", IF(W142&lt;0, "Invalid: Negative Discount", IF(W142&gt;0.5, "Invalid: Exceeds Allowed Discount", "OK")))</f>
        <v>OK</v>
      </c>
    </row>
    <row r="143" spans="1:30">
      <c r="A143" t="s">
        <v>795</v>
      </c>
      <c r="B143" t="str">
        <f t="shared" si="2"/>
        <v>Unique</v>
      </c>
      <c r="C143" s="3">
        <v>45374</v>
      </c>
      <c r="D143" s="3">
        <v>45380</v>
      </c>
      <c r="E143" t="s">
        <v>798</v>
      </c>
      <c r="F143" t="s">
        <v>142</v>
      </c>
      <c r="G143" t="s">
        <v>108</v>
      </c>
      <c r="H143" t="s">
        <v>27</v>
      </c>
      <c r="I143" t="s">
        <v>506</v>
      </c>
      <c r="J143" t="s">
        <v>507</v>
      </c>
      <c r="K143" t="s">
        <v>45</v>
      </c>
      <c r="L143" t="s">
        <v>204</v>
      </c>
      <c r="M143" t="s">
        <v>799</v>
      </c>
      <c r="N143" t="s">
        <v>48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34</v>
      </c>
      <c r="V143" t="s">
        <v>125</v>
      </c>
      <c r="W143">
        <f>IF(ISBLANK(Q143), 0, IFERROR(VALUE(Q143), 0.7))</f>
        <v>0.1</v>
      </c>
      <c r="X143">
        <f>D143 - C143</f>
        <v>6</v>
      </c>
      <c r="Y143">
        <f>O143 * P143 * (1 - W143)</f>
        <v>3996.027</v>
      </c>
      <c r="Z143">
        <f>Y143 - S143</f>
        <v>1136.5169999999998</v>
      </c>
      <c r="AA143">
        <f>IFERROR(Z143 / Y143, 0)</f>
        <v>0.28441174196270441</v>
      </c>
      <c r="AB143" t="str">
        <f>TEXT(C143, "mmmm")</f>
        <v>March</v>
      </c>
      <c r="AC143">
        <f>YEAR(C143)</f>
        <v>2024</v>
      </c>
      <c r="AD143" t="str">
        <f>IF(X143&lt;0, "Invalid: Ship Date Before Order Date", IF(W143&lt;0, "Invalid: Negative Discount", IF(W143&gt;0.5, "Invalid: Exceeds Allowed Discount", "OK")))</f>
        <v>OK</v>
      </c>
    </row>
    <row r="144" spans="1:30">
      <c r="A144" t="s">
        <v>800</v>
      </c>
      <c r="B144" t="str">
        <f t="shared" si="2"/>
        <v>Review: Duplicate Order ID</v>
      </c>
      <c r="C144" s="3">
        <v>45381</v>
      </c>
      <c r="D144" s="3">
        <v>45377</v>
      </c>
      <c r="E144" t="s">
        <v>803</v>
      </c>
      <c r="F144" t="s">
        <v>107</v>
      </c>
      <c r="G144" t="s">
        <v>115</v>
      </c>
      <c r="H144" t="s">
        <v>27</v>
      </c>
      <c r="I144" t="s">
        <v>28</v>
      </c>
      <c r="J144" t="s">
        <v>29</v>
      </c>
      <c r="K144" t="s">
        <v>86</v>
      </c>
      <c r="L144" t="s">
        <v>223</v>
      </c>
      <c r="M144" t="s">
        <v>804</v>
      </c>
      <c r="N144" t="s">
        <v>33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34</v>
      </c>
      <c r="V144" t="s">
        <v>35</v>
      </c>
      <c r="W144">
        <f>IF(ISBLANK(Q144), 0, IFERROR(VALUE(Q144), 0.7))</f>
        <v>0.15</v>
      </c>
      <c r="X144">
        <f>D144 - C144</f>
        <v>-4</v>
      </c>
      <c r="Y144">
        <f>O144 * P144 * (1 - W144)</f>
        <v>3857.0449999999996</v>
      </c>
      <c r="Z144">
        <f>Y144 - S144</f>
        <v>1087.7849999999994</v>
      </c>
      <c r="AA144">
        <f>IFERROR(Z144 / Y144, 0)</f>
        <v>0.28202548842442843</v>
      </c>
      <c r="AB144" t="str">
        <f>TEXT(C144, "mmmm")</f>
        <v>March</v>
      </c>
      <c r="AC144">
        <f>YEAR(C144)</f>
        <v>2024</v>
      </c>
      <c r="AD144" t="str">
        <f>IF(X144&lt;0, "Invalid: Ship Date Before Order Date", IF(W144&lt;0, "Invalid: Negative Discount", IF(W144&gt;0.5, "Invalid: Exceeds Allowed Discount", "OK")))</f>
        <v>Invalid: Ship Date Before Order Date</v>
      </c>
    </row>
    <row r="145" spans="1:30">
      <c r="A145" t="s">
        <v>805</v>
      </c>
      <c r="B145" t="str">
        <f t="shared" si="2"/>
        <v>Unique</v>
      </c>
      <c r="C145" s="3">
        <v>45375</v>
      </c>
      <c r="D145" s="3">
        <v>45377</v>
      </c>
      <c r="E145" t="s">
        <v>807</v>
      </c>
      <c r="F145" t="s">
        <v>142</v>
      </c>
      <c r="G145" t="s">
        <v>26</v>
      </c>
      <c r="H145" t="s">
        <v>73</v>
      </c>
      <c r="I145" t="s">
        <v>235</v>
      </c>
      <c r="J145" t="s">
        <v>236</v>
      </c>
      <c r="K145" t="s">
        <v>30</v>
      </c>
      <c r="L145" t="s">
        <v>31</v>
      </c>
      <c r="M145" t="s">
        <v>808</v>
      </c>
      <c r="N145" t="s">
        <v>33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34</v>
      </c>
      <c r="V145" t="s">
        <v>125</v>
      </c>
      <c r="W145">
        <f>IF(ISBLANK(Q145), 0, IFERROR(VALUE(Q145), 0.7))</f>
        <v>0.1</v>
      </c>
      <c r="X145">
        <f>D145 - C145</f>
        <v>2</v>
      </c>
      <c r="Y145">
        <f>O145 * P145 * (1 - W145)</f>
        <v>3068.55</v>
      </c>
      <c r="Z145">
        <f>Y145 - S145</f>
        <v>1152.3900000000001</v>
      </c>
      <c r="AA145">
        <f>IFERROR(Z145 / Y145, 0)</f>
        <v>0.3755487119323459</v>
      </c>
      <c r="AB145" t="str">
        <f>TEXT(C145, "mmmm")</f>
        <v>March</v>
      </c>
      <c r="AC145">
        <f>YEAR(C145)</f>
        <v>2024</v>
      </c>
      <c r="AD145" t="str">
        <f>IF(X145&lt;0, "Invalid: Ship Date Before Order Date", IF(W145&lt;0, "Invalid: Negative Discount", IF(W145&gt;0.5, "Invalid: Exceeds Allowed Discount", "OK")))</f>
        <v>OK</v>
      </c>
    </row>
    <row r="146" spans="1:30">
      <c r="A146" t="s">
        <v>809</v>
      </c>
      <c r="B146" t="str">
        <f t="shared" si="2"/>
        <v>Unique</v>
      </c>
      <c r="C146" s="3">
        <v>45479</v>
      </c>
      <c r="D146" s="3">
        <v>45458</v>
      </c>
      <c r="E146" t="s">
        <v>811</v>
      </c>
      <c r="F146" t="s">
        <v>366</v>
      </c>
      <c r="G146" t="s">
        <v>41</v>
      </c>
      <c r="H146" t="s">
        <v>62</v>
      </c>
      <c r="I146" t="s">
        <v>63</v>
      </c>
      <c r="J146" t="s">
        <v>64</v>
      </c>
      <c r="K146" t="s">
        <v>86</v>
      </c>
      <c r="L146" t="s">
        <v>87</v>
      </c>
      <c r="M146" t="s">
        <v>812</v>
      </c>
      <c r="N146" t="s">
        <v>56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124</v>
      </c>
      <c r="V146" t="s">
        <v>125</v>
      </c>
      <c r="W146">
        <f>IF(ISBLANK(Q146), 0, IFERROR(VALUE(Q146), 0.7))</f>
        <v>0.25</v>
      </c>
      <c r="X146">
        <f>D146 - C146</f>
        <v>-21</v>
      </c>
      <c r="Y146">
        <f>O146 * P146 * (1 - W146)</f>
        <v>11276.947499999998</v>
      </c>
      <c r="Z146">
        <f>Y146 - S146</f>
        <v>4368.1874999999982</v>
      </c>
      <c r="AA146">
        <f>IFERROR(Z146 / Y146, 0)</f>
        <v>0.38735548782150481</v>
      </c>
      <c r="AB146" t="str">
        <f>TEXT(C146, "mmmm")</f>
        <v>July</v>
      </c>
      <c r="AC146">
        <f>YEAR(C146)</f>
        <v>2024</v>
      </c>
      <c r="AD146" t="str">
        <f>IF(X146&lt;0, "Invalid: Ship Date Before Order Date", IF(W146&lt;0, "Invalid: Negative Discount", IF(W146&gt;0.5, "Invalid: Exceeds Allowed Discount", "OK")))</f>
        <v>Invalid: Ship Date Before Order Date</v>
      </c>
    </row>
    <row r="147" spans="1:30">
      <c r="A147" t="s">
        <v>813</v>
      </c>
      <c r="B147" t="str">
        <f t="shared" si="2"/>
        <v>Unique</v>
      </c>
      <c r="C147" s="3">
        <v>45965</v>
      </c>
      <c r="D147" s="3">
        <v>45760</v>
      </c>
      <c r="E147" t="s">
        <v>816</v>
      </c>
      <c r="F147" t="s">
        <v>40</v>
      </c>
      <c r="G147" t="s">
        <v>41</v>
      </c>
      <c r="H147" t="s">
        <v>73</v>
      </c>
      <c r="I147" t="s">
        <v>249</v>
      </c>
      <c r="J147" t="s">
        <v>250</v>
      </c>
      <c r="K147" t="s">
        <v>30</v>
      </c>
      <c r="L147" t="s">
        <v>31</v>
      </c>
      <c r="M147" t="s">
        <v>817</v>
      </c>
      <c r="N147" t="s">
        <v>67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34</v>
      </c>
      <c r="V147" t="s">
        <v>35</v>
      </c>
      <c r="W147">
        <f>IF(ISBLANK(Q147), 0, IFERROR(VALUE(Q147), 0.7))</f>
        <v>0.1</v>
      </c>
      <c r="X147">
        <f>D147 - C147</f>
        <v>-205</v>
      </c>
      <c r="Y147">
        <f>O147 * P147 * (1 - W147)</f>
        <v>15055.74</v>
      </c>
      <c r="Z147">
        <f>Y147 - S147</f>
        <v>5246.91</v>
      </c>
      <c r="AA147">
        <f>IFERROR(Z147 / Y147, 0)</f>
        <v>0.34849897779850075</v>
      </c>
      <c r="AB147" t="str">
        <f>TEXT(C147, "mmmm")</f>
        <v>November</v>
      </c>
      <c r="AC147">
        <f>YEAR(C147)</f>
        <v>2025</v>
      </c>
      <c r="AD147" t="str">
        <f>IF(X147&lt;0, "Invalid: Ship Date Before Order Date", IF(W147&lt;0, "Invalid: Negative Discount", IF(W147&gt;0.5, "Invalid: Exceeds Allowed Discount", "OK")))</f>
        <v>Invalid: Ship Date Before Order Date</v>
      </c>
    </row>
    <row r="148" spans="1:30">
      <c r="A148" t="s">
        <v>818</v>
      </c>
      <c r="B148" t="str">
        <f t="shared" si="2"/>
        <v>Unique</v>
      </c>
      <c r="C148" s="3">
        <v>45868</v>
      </c>
      <c r="D148" s="3">
        <v>45870</v>
      </c>
      <c r="E148" t="s">
        <v>821</v>
      </c>
      <c r="F148" t="s">
        <v>168</v>
      </c>
      <c r="G148" t="s">
        <v>41</v>
      </c>
      <c r="H148" t="s">
        <v>62</v>
      </c>
      <c r="I148" t="s">
        <v>339</v>
      </c>
      <c r="J148" t="s">
        <v>340</v>
      </c>
      <c r="K148" t="s">
        <v>30</v>
      </c>
      <c r="L148" t="s">
        <v>156</v>
      </c>
      <c r="M148" t="s">
        <v>822</v>
      </c>
      <c r="N148" t="s">
        <v>48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34</v>
      </c>
      <c r="V148" t="s">
        <v>35</v>
      </c>
      <c r="W148">
        <f>IF(ISBLANK(Q148), 0, IFERROR(VALUE(Q148), 0.7))</f>
        <v>0.1</v>
      </c>
      <c r="X148">
        <f>D148 - C148</f>
        <v>2</v>
      </c>
      <c r="Y148">
        <f>O148 * P148 * (1 - W148)</f>
        <v>25639.983</v>
      </c>
      <c r="Z148">
        <f>Y148 - S148</f>
        <v>4004.9029999999984</v>
      </c>
      <c r="AA148">
        <f>IFERROR(Z148 / Y148, 0)</f>
        <v>0.1561975684617263</v>
      </c>
      <c r="AB148" t="str">
        <f>TEXT(C148, "mmmm")</f>
        <v>July</v>
      </c>
      <c r="AC148">
        <f>YEAR(C148)</f>
        <v>2025</v>
      </c>
      <c r="AD148" t="str">
        <f>IF(X148&lt;0, "Invalid: Ship Date Before Order Date", IF(W148&lt;0, "Invalid: Negative Discount", IF(W148&gt;0.5, "Invalid: Exceeds Allowed Discount", "OK")))</f>
        <v>OK</v>
      </c>
    </row>
    <row r="149" spans="1:30">
      <c r="A149" t="s">
        <v>823</v>
      </c>
      <c r="B149" t="str">
        <f t="shared" si="2"/>
        <v>Unique</v>
      </c>
      <c r="C149" s="3">
        <v>45649</v>
      </c>
      <c r="D149" s="3">
        <v>45656</v>
      </c>
      <c r="E149" t="s">
        <v>826</v>
      </c>
      <c r="F149" t="s">
        <v>142</v>
      </c>
      <c r="G149" t="s">
        <v>115</v>
      </c>
      <c r="H149" t="s">
        <v>73</v>
      </c>
      <c r="I149" t="s">
        <v>249</v>
      </c>
      <c r="J149" t="s">
        <v>250</v>
      </c>
      <c r="K149" t="s">
        <v>45</v>
      </c>
      <c r="L149" t="s">
        <v>65</v>
      </c>
      <c r="M149" t="s">
        <v>827</v>
      </c>
      <c r="N149" t="s">
        <v>56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34</v>
      </c>
      <c r="V149" t="s">
        <v>35</v>
      </c>
      <c r="W149">
        <f>IF(ISBLANK(Q149), 0, IFERROR(VALUE(Q149), 0.7))</f>
        <v>0.1</v>
      </c>
      <c r="X149">
        <f>D149 - C149</f>
        <v>7</v>
      </c>
      <c r="Y149">
        <f>O149 * P149 * (1 - W149)</f>
        <v>2779.92</v>
      </c>
      <c r="Z149">
        <f>Y149 - S149</f>
        <v>1035.8700000000001</v>
      </c>
      <c r="AA149">
        <f>IFERROR(Z149 / Y149, 0)</f>
        <v>0.37262583095916435</v>
      </c>
      <c r="AB149" t="str">
        <f>TEXT(C149, "mmmm")</f>
        <v>December</v>
      </c>
      <c r="AC149">
        <f>YEAR(C149)</f>
        <v>2024</v>
      </c>
      <c r="AD149" t="str">
        <f>IF(X149&lt;0, "Invalid: Ship Date Before Order Date", IF(W149&lt;0, "Invalid: Negative Discount", IF(W149&gt;0.5, "Invalid: Exceeds Allowed Discount", "OK")))</f>
        <v>OK</v>
      </c>
    </row>
    <row r="150" spans="1:30">
      <c r="A150" t="s">
        <v>828</v>
      </c>
      <c r="B150" t="str">
        <f t="shared" si="2"/>
        <v>Unique</v>
      </c>
      <c r="C150" s="3">
        <v>45697</v>
      </c>
      <c r="D150" s="3">
        <v>45701</v>
      </c>
      <c r="E150" t="s">
        <v>831</v>
      </c>
      <c r="F150" t="s">
        <v>40</v>
      </c>
      <c r="G150" t="s">
        <v>115</v>
      </c>
      <c r="H150" t="s">
        <v>73</v>
      </c>
      <c r="I150" t="s">
        <v>84</v>
      </c>
      <c r="J150" t="s">
        <v>85</v>
      </c>
      <c r="K150" t="s">
        <v>86</v>
      </c>
      <c r="L150" t="s">
        <v>223</v>
      </c>
      <c r="M150" t="s">
        <v>832</v>
      </c>
      <c r="N150" t="s">
        <v>4110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34</v>
      </c>
      <c r="V150" t="s">
        <v>35</v>
      </c>
      <c r="W150">
        <f>IF(ISBLANK(Q150), 0, IFERROR(VALUE(Q150), 0.7))</f>
        <v>0.25</v>
      </c>
      <c r="X150">
        <f>D150 - C150</f>
        <v>4</v>
      </c>
      <c r="Y150">
        <f>O150 * P150 * (1 - W150)</f>
        <v>10176.42</v>
      </c>
      <c r="Z150">
        <f>Y150 - S150</f>
        <v>2571.9499999999998</v>
      </c>
      <c r="AA150">
        <f>IFERROR(Z150 / Y150, 0)</f>
        <v>0.252736227474888</v>
      </c>
      <c r="AB150" t="str">
        <f>TEXT(C150, "mmmm")</f>
        <v>February</v>
      </c>
      <c r="AC150">
        <f>YEAR(C150)</f>
        <v>2025</v>
      </c>
      <c r="AD150" t="str">
        <f>IF(X150&lt;0, "Invalid: Ship Date Before Order Date", IF(W150&lt;0, "Invalid: Negative Discount", IF(W150&gt;0.5, "Invalid: Exceeds Allowed Discount", "OK")))</f>
        <v>OK</v>
      </c>
    </row>
    <row r="151" spans="1:30">
      <c r="A151" t="s">
        <v>833</v>
      </c>
      <c r="B151" t="str">
        <f t="shared" si="2"/>
        <v>Unique</v>
      </c>
      <c r="C151" s="3">
        <v>45321</v>
      </c>
      <c r="D151" s="3">
        <v>45321</v>
      </c>
      <c r="E151" t="s">
        <v>835</v>
      </c>
      <c r="F151" t="s">
        <v>162</v>
      </c>
      <c r="G151" t="s">
        <v>41</v>
      </c>
      <c r="H151" t="s">
        <v>73</v>
      </c>
      <c r="I151" t="s">
        <v>28</v>
      </c>
      <c r="J151" t="s">
        <v>135</v>
      </c>
      <c r="K151" t="s">
        <v>86</v>
      </c>
      <c r="L151" t="s">
        <v>94</v>
      </c>
      <c r="M151" t="s">
        <v>837</v>
      </c>
      <c r="N151" t="s">
        <v>48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34</v>
      </c>
      <c r="V151" t="s">
        <v>35</v>
      </c>
      <c r="W151">
        <f>IF(ISBLANK(Q151), 0, IFERROR(VALUE(Q151), 0.7))</f>
        <v>0.25</v>
      </c>
      <c r="X151">
        <f>D151 - C151</f>
        <v>0</v>
      </c>
      <c r="Y151">
        <f>O151 * P151 * (1 - W151)</f>
        <v>13269.952499999999</v>
      </c>
      <c r="Z151">
        <f>Y151 - S151</f>
        <v>4292.8524999999991</v>
      </c>
      <c r="AA151">
        <f>IFERROR(Z151 / Y151, 0)</f>
        <v>0.32350172315989822</v>
      </c>
      <c r="AB151" t="str">
        <f>TEXT(C151, "mmmm")</f>
        <v>January</v>
      </c>
      <c r="AC151">
        <f>YEAR(C151)</f>
        <v>2024</v>
      </c>
      <c r="AD151" t="str">
        <f>IF(X151&lt;0, "Invalid: Ship Date Before Order Date", IF(W151&lt;0, "Invalid: Negative Discount", IF(W151&gt;0.5, "Invalid: Exceeds Allowed Discount", "OK")))</f>
        <v>OK</v>
      </c>
    </row>
    <row r="152" spans="1:30">
      <c r="A152" t="s">
        <v>838</v>
      </c>
      <c r="B152" t="str">
        <f t="shared" si="2"/>
        <v>Unique</v>
      </c>
      <c r="C152" s="3">
        <v>45385</v>
      </c>
      <c r="D152" s="3">
        <v>45363</v>
      </c>
      <c r="E152" t="s">
        <v>841</v>
      </c>
      <c r="F152" t="s">
        <v>61</v>
      </c>
      <c r="G152" t="s">
        <v>26</v>
      </c>
      <c r="H152" t="s">
        <v>4110</v>
      </c>
      <c r="I152" t="s">
        <v>235</v>
      </c>
      <c r="J152" t="s">
        <v>236</v>
      </c>
      <c r="K152" t="s">
        <v>45</v>
      </c>
      <c r="L152" t="s">
        <v>204</v>
      </c>
      <c r="M152" t="s">
        <v>842</v>
      </c>
      <c r="N152" t="s">
        <v>56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34</v>
      </c>
      <c r="V152" t="s">
        <v>35</v>
      </c>
      <c r="W152">
        <f>IF(ISBLANK(Q152), 0, IFERROR(VALUE(Q152), 0.7))</f>
        <v>0.1</v>
      </c>
      <c r="X152">
        <f>D152 - C152</f>
        <v>-22</v>
      </c>
      <c r="Y152">
        <f>O152 * P152 * (1 - W152)</f>
        <v>1398.7079999999999</v>
      </c>
      <c r="Z152">
        <f>Y152 - S152</f>
        <v>341.78799999999978</v>
      </c>
      <c r="AA152">
        <f>IFERROR(Z152 / Y152, 0)</f>
        <v>0.24435979489643286</v>
      </c>
      <c r="AB152" t="str">
        <f>TEXT(C152, "mmmm")</f>
        <v>April</v>
      </c>
      <c r="AC152">
        <f>YEAR(C152)</f>
        <v>2024</v>
      </c>
      <c r="AD152" t="str">
        <f>IF(X152&lt;0, "Invalid: Ship Date Before Order Date", IF(W152&lt;0, "Invalid: Negative Discount", IF(W152&gt;0.5, "Invalid: Exceeds Allowed Discount", "OK")))</f>
        <v>Invalid: Ship Date Before Order Date</v>
      </c>
    </row>
    <row r="153" spans="1:30">
      <c r="A153" t="s">
        <v>843</v>
      </c>
      <c r="B153" t="str">
        <f t="shared" si="2"/>
        <v>Unique</v>
      </c>
      <c r="C153" s="3">
        <v>45470</v>
      </c>
      <c r="D153" s="3">
        <v>45470</v>
      </c>
      <c r="E153" t="s">
        <v>846</v>
      </c>
      <c r="F153" t="s">
        <v>93</v>
      </c>
      <c r="G153" t="s">
        <v>115</v>
      </c>
      <c r="H153" t="s">
        <v>4110</v>
      </c>
      <c r="I153" t="s">
        <v>84</v>
      </c>
      <c r="J153" t="s">
        <v>85</v>
      </c>
      <c r="K153" t="s">
        <v>86</v>
      </c>
      <c r="L153" t="s">
        <v>94</v>
      </c>
      <c r="M153" t="s">
        <v>847</v>
      </c>
      <c r="N153" t="s">
        <v>67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137</v>
      </c>
      <c r="V153" t="s">
        <v>125</v>
      </c>
      <c r="W153">
        <f>IF(ISBLANK(Q153), 0, IFERROR(VALUE(Q153), 0.7))</f>
        <v>0</v>
      </c>
      <c r="X153">
        <f>D153 - C153</f>
        <v>0</v>
      </c>
      <c r="Y153">
        <f>O153 * P153 * (1 - W153)</f>
        <v>7718.22</v>
      </c>
      <c r="Z153">
        <f>Y153 - S153</f>
        <v>2362.29</v>
      </c>
      <c r="AA153">
        <f>IFERROR(Z153 / Y153, 0)</f>
        <v>0.30606668376905555</v>
      </c>
      <c r="AB153" t="str">
        <f>TEXT(C153, "mmmm")</f>
        <v>June</v>
      </c>
      <c r="AC153">
        <f>YEAR(C153)</f>
        <v>2024</v>
      </c>
      <c r="AD153" t="str">
        <f>IF(X153&lt;0, "Invalid: Ship Date Before Order Date", IF(W153&lt;0, "Invalid: Negative Discount", IF(W153&gt;0.5, "Invalid: Exceeds Allowed Discount", "OK")))</f>
        <v>OK</v>
      </c>
    </row>
    <row r="154" spans="1:30">
      <c r="A154" t="s">
        <v>848</v>
      </c>
      <c r="B154" t="str">
        <f t="shared" si="2"/>
        <v>Unique</v>
      </c>
      <c r="C154" s="3">
        <v>45457</v>
      </c>
      <c r="D154" s="3">
        <v>45460</v>
      </c>
      <c r="E154" t="s">
        <v>851</v>
      </c>
      <c r="F154" t="s">
        <v>366</v>
      </c>
      <c r="G154" t="s">
        <v>41</v>
      </c>
      <c r="H154" t="s">
        <v>62</v>
      </c>
      <c r="I154" t="s">
        <v>242</v>
      </c>
      <c r="J154" t="s">
        <v>243</v>
      </c>
      <c r="K154" t="s">
        <v>45</v>
      </c>
      <c r="L154" t="s">
        <v>46</v>
      </c>
      <c r="M154" t="s">
        <v>852</v>
      </c>
      <c r="N154" t="s">
        <v>33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137</v>
      </c>
      <c r="V154" t="s">
        <v>125</v>
      </c>
      <c r="W154">
        <f>IF(ISBLANK(Q154), 0, IFERROR(VALUE(Q154), 0.7))</f>
        <v>0.1</v>
      </c>
      <c r="X154">
        <f>D154 - C154</f>
        <v>3</v>
      </c>
      <c r="Y154">
        <f>O154 * P154 * (1 - W154)</f>
        <v>5875.4160000000002</v>
      </c>
      <c r="Z154">
        <f>Y154 - S154</f>
        <v>1494.866</v>
      </c>
      <c r="AA154">
        <f>IFERROR(Z154 / Y154, 0)</f>
        <v>0.25442726098032886</v>
      </c>
      <c r="AB154" t="str">
        <f>TEXT(C154, "mmmm")</f>
        <v>June</v>
      </c>
      <c r="AC154">
        <f>YEAR(C154)</f>
        <v>2024</v>
      </c>
      <c r="AD154" t="str">
        <f>IF(X154&lt;0, "Invalid: Ship Date Before Order Date", IF(W154&lt;0, "Invalid: Negative Discount", IF(W154&gt;0.5, "Invalid: Exceeds Allowed Discount", "OK")))</f>
        <v>OK</v>
      </c>
    </row>
    <row r="155" spans="1:30">
      <c r="A155" t="s">
        <v>853</v>
      </c>
      <c r="B155" t="str">
        <f t="shared" si="2"/>
        <v>Unique</v>
      </c>
      <c r="C155" s="3">
        <v>45923</v>
      </c>
      <c r="D155" s="3">
        <v>45925</v>
      </c>
      <c r="E155" t="s">
        <v>856</v>
      </c>
      <c r="F155" t="s">
        <v>107</v>
      </c>
      <c r="G155" t="s">
        <v>26</v>
      </c>
      <c r="H155" t="s">
        <v>42</v>
      </c>
      <c r="I155" t="s">
        <v>43</v>
      </c>
      <c r="J155" t="s">
        <v>44</v>
      </c>
      <c r="K155" t="s">
        <v>30</v>
      </c>
      <c r="L155" t="s">
        <v>109</v>
      </c>
      <c r="M155" t="s">
        <v>857</v>
      </c>
      <c r="N155" t="s">
        <v>67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124</v>
      </c>
      <c r="V155" t="s">
        <v>125</v>
      </c>
      <c r="W155">
        <f>IF(ISBLANK(Q155), 0, IFERROR(VALUE(Q155), 0.7))</f>
        <v>0</v>
      </c>
      <c r="X155">
        <f>D155 - C155</f>
        <v>2</v>
      </c>
      <c r="Y155">
        <f>O155 * P155 * (1 - W155)</f>
        <v>22962.17</v>
      </c>
      <c r="Z155">
        <f>Y155 - S155</f>
        <v>7245.6699999999983</v>
      </c>
      <c r="AA155">
        <f>IFERROR(Z155 / Y155, 0)</f>
        <v>0.31554813852523517</v>
      </c>
      <c r="AB155" t="str">
        <f>TEXT(C155, "mmmm")</f>
        <v>September</v>
      </c>
      <c r="AC155">
        <f>YEAR(C155)</f>
        <v>2025</v>
      </c>
      <c r="AD155" t="str">
        <f>IF(X155&lt;0, "Invalid: Ship Date Before Order Date", IF(W155&lt;0, "Invalid: Negative Discount", IF(W155&gt;0.5, "Invalid: Exceeds Allowed Discount", "OK")))</f>
        <v>OK</v>
      </c>
    </row>
    <row r="156" spans="1:30">
      <c r="A156" t="s">
        <v>858</v>
      </c>
      <c r="B156" t="str">
        <f t="shared" si="2"/>
        <v>Unique</v>
      </c>
      <c r="C156" s="3">
        <v>45334</v>
      </c>
      <c r="D156" s="3">
        <v>45333</v>
      </c>
      <c r="E156" t="s">
        <v>669</v>
      </c>
      <c r="F156" t="s">
        <v>142</v>
      </c>
      <c r="G156" t="s">
        <v>26</v>
      </c>
      <c r="H156" t="s">
        <v>62</v>
      </c>
      <c r="I156" t="s">
        <v>339</v>
      </c>
      <c r="J156" t="s">
        <v>340</v>
      </c>
      <c r="K156" t="s">
        <v>45</v>
      </c>
      <c r="L156" t="s">
        <v>204</v>
      </c>
      <c r="M156" t="s">
        <v>861</v>
      </c>
      <c r="N156" t="s">
        <v>48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34</v>
      </c>
      <c r="V156" t="s">
        <v>35</v>
      </c>
      <c r="W156">
        <f>IF(ISBLANK(Q156), 0, IFERROR(VALUE(Q156), 0.7))</f>
        <v>0.15</v>
      </c>
      <c r="X156">
        <f>D156 - C156</f>
        <v>-1</v>
      </c>
      <c r="Y156">
        <f>O156 * P156 * (1 - W156)</f>
        <v>2209.252</v>
      </c>
      <c r="Z156">
        <f>Y156 - S156</f>
        <v>685.47199999999998</v>
      </c>
      <c r="AA156">
        <f>IFERROR(Z156 / Y156, 0)</f>
        <v>0.31027334138432372</v>
      </c>
      <c r="AB156" t="str">
        <f>TEXT(C156, "mmmm")</f>
        <v>February</v>
      </c>
      <c r="AC156">
        <f>YEAR(C156)</f>
        <v>2024</v>
      </c>
      <c r="AD156" t="str">
        <f>IF(X156&lt;0, "Invalid: Ship Date Before Order Date", IF(W156&lt;0, "Invalid: Negative Discount", IF(W156&gt;0.5, "Invalid: Exceeds Allowed Discount", "OK")))</f>
        <v>Invalid: Ship Date Before Order Date</v>
      </c>
    </row>
    <row r="157" spans="1:30">
      <c r="A157" t="s">
        <v>862</v>
      </c>
      <c r="B157" t="str">
        <f t="shared" si="2"/>
        <v>Unique</v>
      </c>
      <c r="C157" s="3">
        <v>45683</v>
      </c>
      <c r="D157" s="3">
        <v>45691</v>
      </c>
      <c r="E157" t="s">
        <v>863</v>
      </c>
      <c r="F157" t="s">
        <v>25</v>
      </c>
      <c r="G157" t="s">
        <v>108</v>
      </c>
      <c r="H157" t="s">
        <v>73</v>
      </c>
      <c r="I157" t="s">
        <v>28</v>
      </c>
      <c r="J157" t="s">
        <v>135</v>
      </c>
      <c r="K157" t="s">
        <v>45</v>
      </c>
      <c r="L157" t="s">
        <v>65</v>
      </c>
      <c r="M157" t="s">
        <v>864</v>
      </c>
      <c r="N157" t="s">
        <v>48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124</v>
      </c>
      <c r="V157" t="s">
        <v>125</v>
      </c>
      <c r="W157">
        <f>IF(ISBLANK(Q157), 0, IFERROR(VALUE(Q157), 0.7))</f>
        <v>0.1</v>
      </c>
      <c r="X157">
        <f>D157 - C157</f>
        <v>8</v>
      </c>
      <c r="Y157">
        <f>O157 * P157 * (1 - W157)</f>
        <v>7720.1640000000007</v>
      </c>
      <c r="Z157">
        <f>Y157 - S157</f>
        <v>1839.1640000000007</v>
      </c>
      <c r="AA157">
        <f>IFERROR(Z157 / Y157, 0)</f>
        <v>0.23822861794127695</v>
      </c>
      <c r="AB157" t="str">
        <f>TEXT(C157, "mmmm")</f>
        <v>January</v>
      </c>
      <c r="AC157">
        <f>YEAR(C157)</f>
        <v>2025</v>
      </c>
      <c r="AD157" t="str">
        <f>IF(X157&lt;0, "Invalid: Ship Date Before Order Date", IF(W157&lt;0, "Invalid: Negative Discount", IF(W157&gt;0.5, "Invalid: Exceeds Allowed Discount", "OK")))</f>
        <v>OK</v>
      </c>
    </row>
    <row r="158" spans="1:30">
      <c r="A158" t="s">
        <v>865</v>
      </c>
      <c r="B158" t="str">
        <f t="shared" si="2"/>
        <v>Unique</v>
      </c>
      <c r="C158" s="3">
        <v>45743</v>
      </c>
      <c r="D158" s="3">
        <v>45743</v>
      </c>
      <c r="E158" t="s">
        <v>868</v>
      </c>
      <c r="F158" t="s">
        <v>83</v>
      </c>
      <c r="G158" t="s">
        <v>41</v>
      </c>
      <c r="H158" t="s">
        <v>42</v>
      </c>
      <c r="I158" t="s">
        <v>186</v>
      </c>
      <c r="J158" t="s">
        <v>187</v>
      </c>
      <c r="K158" t="s">
        <v>86</v>
      </c>
      <c r="L158" t="s">
        <v>382</v>
      </c>
      <c r="M158" t="s">
        <v>869</v>
      </c>
      <c r="N158" t="s">
        <v>33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34</v>
      </c>
      <c r="V158" t="s">
        <v>35</v>
      </c>
      <c r="W158">
        <f>IF(ISBLANK(Q158), 0, IFERROR(VALUE(Q158), 0.7))</f>
        <v>0.25</v>
      </c>
      <c r="X158">
        <f>D158 - C158</f>
        <v>0</v>
      </c>
      <c r="Y158">
        <f>O158 * P158 * (1 - W158)</f>
        <v>12103.192500000001</v>
      </c>
      <c r="Z158">
        <f>Y158 - S158</f>
        <v>5385.3225000000011</v>
      </c>
      <c r="AA158">
        <f>IFERROR(Z158 / Y158, 0)</f>
        <v>0.44495057812225997</v>
      </c>
      <c r="AB158" t="str">
        <f>TEXT(C158, "mmmm")</f>
        <v>March</v>
      </c>
      <c r="AC158">
        <f>YEAR(C158)</f>
        <v>2025</v>
      </c>
      <c r="AD158" t="str">
        <f>IF(X158&lt;0, "Invalid: Ship Date Before Order Date", IF(W158&lt;0, "Invalid: Negative Discount", IF(W158&gt;0.5, "Invalid: Exceeds Allowed Discount", "OK")))</f>
        <v>OK</v>
      </c>
    </row>
    <row r="159" spans="1:30">
      <c r="A159" t="s">
        <v>870</v>
      </c>
      <c r="B159" t="str">
        <f t="shared" si="2"/>
        <v>Unique</v>
      </c>
      <c r="C159" s="3">
        <v>45587</v>
      </c>
      <c r="D159" s="3">
        <v>45589</v>
      </c>
      <c r="E159" t="s">
        <v>873</v>
      </c>
      <c r="F159" t="s">
        <v>180</v>
      </c>
      <c r="G159" t="s">
        <v>41</v>
      </c>
      <c r="H159" t="s">
        <v>62</v>
      </c>
      <c r="I159" t="s">
        <v>100</v>
      </c>
      <c r="J159" t="s">
        <v>101</v>
      </c>
      <c r="K159" t="s">
        <v>45</v>
      </c>
      <c r="L159" t="s">
        <v>204</v>
      </c>
      <c r="M159" t="s">
        <v>874</v>
      </c>
      <c r="N159" t="s">
        <v>67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34</v>
      </c>
      <c r="V159" t="s">
        <v>35</v>
      </c>
      <c r="W159">
        <f>IF(ISBLANK(Q159), 0, IFERROR(VALUE(Q159), 0.7))</f>
        <v>0.15</v>
      </c>
      <c r="X159">
        <f>D159 - C159</f>
        <v>2</v>
      </c>
      <c r="Y159">
        <f>O159 * P159 * (1 - W159)</f>
        <v>2335.3919999999998</v>
      </c>
      <c r="Z159">
        <f>Y159 - S159</f>
        <v>869.24199999999973</v>
      </c>
      <c r="AA159">
        <f>IFERROR(Z159 / Y159, 0)</f>
        <v>0.3722038955344541</v>
      </c>
      <c r="AB159" t="str">
        <f>TEXT(C159, "mmmm")</f>
        <v>October</v>
      </c>
      <c r="AC159">
        <f>YEAR(C159)</f>
        <v>2024</v>
      </c>
      <c r="AD159" t="str">
        <f>IF(X159&lt;0, "Invalid: Ship Date Before Order Date", IF(W159&lt;0, "Invalid: Negative Discount", IF(W159&gt;0.5, "Invalid: Exceeds Allowed Discount", "OK")))</f>
        <v>OK</v>
      </c>
    </row>
    <row r="160" spans="1:30">
      <c r="A160" t="s">
        <v>875</v>
      </c>
      <c r="B160" t="str">
        <f t="shared" si="2"/>
        <v>Unique</v>
      </c>
      <c r="C160" s="3">
        <v>45544</v>
      </c>
      <c r="D160" s="3">
        <v>45546</v>
      </c>
      <c r="E160" t="s">
        <v>878</v>
      </c>
      <c r="F160" t="s">
        <v>93</v>
      </c>
      <c r="G160" t="s">
        <v>115</v>
      </c>
      <c r="H160" t="s">
        <v>62</v>
      </c>
      <c r="I160" t="s">
        <v>63</v>
      </c>
      <c r="J160" t="s">
        <v>64</v>
      </c>
      <c r="K160" t="s">
        <v>45</v>
      </c>
      <c r="L160" t="s">
        <v>204</v>
      </c>
      <c r="M160" t="s">
        <v>879</v>
      </c>
      <c r="N160" t="s">
        <v>56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34</v>
      </c>
      <c r="V160" t="s">
        <v>35</v>
      </c>
      <c r="W160">
        <f>IF(ISBLANK(Q160), 0, IFERROR(VALUE(Q160), 0.7))</f>
        <v>0.05</v>
      </c>
      <c r="X160">
        <f>D160 - C160</f>
        <v>2</v>
      </c>
      <c r="Y160">
        <f>O160 * P160 * (1 - W160)</f>
        <v>3989.5629999999996</v>
      </c>
      <c r="Z160">
        <f>Y160 - S160</f>
        <v>1608.1829999999995</v>
      </c>
      <c r="AA160">
        <f>IFERROR(Z160 / Y160, 0)</f>
        <v>0.40309753223598666</v>
      </c>
      <c r="AB160" t="str">
        <f>TEXT(C160, "mmmm")</f>
        <v>September</v>
      </c>
      <c r="AC160">
        <f>YEAR(C160)</f>
        <v>2024</v>
      </c>
      <c r="AD160" t="str">
        <f>IF(X160&lt;0, "Invalid: Ship Date Before Order Date", IF(W160&lt;0, "Invalid: Negative Discount", IF(W160&gt;0.5, "Invalid: Exceeds Allowed Discount", "OK")))</f>
        <v>OK</v>
      </c>
    </row>
    <row r="161" spans="1:30">
      <c r="A161" t="s">
        <v>880</v>
      </c>
      <c r="B161" t="str">
        <f t="shared" si="2"/>
        <v>Unique</v>
      </c>
      <c r="C161" s="3">
        <v>45687</v>
      </c>
      <c r="D161" s="3">
        <v>45749</v>
      </c>
      <c r="E161" t="s">
        <v>883</v>
      </c>
      <c r="F161" t="s">
        <v>142</v>
      </c>
      <c r="G161" t="s">
        <v>108</v>
      </c>
      <c r="H161" t="s">
        <v>27</v>
      </c>
      <c r="I161" t="s">
        <v>323</v>
      </c>
      <c r="J161" t="s">
        <v>324</v>
      </c>
      <c r="K161" t="s">
        <v>45</v>
      </c>
      <c r="L161" t="s">
        <v>76</v>
      </c>
      <c r="M161" t="s">
        <v>884</v>
      </c>
      <c r="N161" t="s">
        <v>48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137</v>
      </c>
      <c r="V161" t="s">
        <v>78</v>
      </c>
      <c r="W161">
        <f>IF(ISBLANK(Q161), 0, IFERROR(VALUE(Q161), 0.7))</f>
        <v>0.15</v>
      </c>
      <c r="X161">
        <f>D161 - C161</f>
        <v>62</v>
      </c>
      <c r="Y161">
        <f>O161 * P161 * (1 - W161)</f>
        <v>33893.324999999997</v>
      </c>
      <c r="Z161">
        <f>Y161 - S161</f>
        <v>8142.9749999999985</v>
      </c>
      <c r="AA161">
        <f>IFERROR(Z161 / Y161, 0)</f>
        <v>0.24025305867748292</v>
      </c>
      <c r="AB161" t="str">
        <f>TEXT(C161, "mmmm")</f>
        <v>January</v>
      </c>
      <c r="AC161">
        <f>YEAR(C161)</f>
        <v>2025</v>
      </c>
      <c r="AD161" t="str">
        <f>IF(X161&lt;0, "Invalid: Ship Date Before Order Date", IF(W161&lt;0, "Invalid: Negative Discount", IF(W161&gt;0.5, "Invalid: Exceeds Allowed Discount", "OK")))</f>
        <v>OK</v>
      </c>
    </row>
    <row r="162" spans="1:30">
      <c r="A162" t="s">
        <v>885</v>
      </c>
      <c r="B162" t="str">
        <f t="shared" si="2"/>
        <v>Unique</v>
      </c>
      <c r="C162" s="3">
        <v>45879</v>
      </c>
      <c r="D162" s="3">
        <v>45936</v>
      </c>
      <c r="E162" t="s">
        <v>888</v>
      </c>
      <c r="F162" t="s">
        <v>83</v>
      </c>
      <c r="G162" t="s">
        <v>41</v>
      </c>
      <c r="H162" t="s">
        <v>73</v>
      </c>
      <c r="I162" t="s">
        <v>74</v>
      </c>
      <c r="J162" t="s">
        <v>75</v>
      </c>
      <c r="K162" t="s">
        <v>30</v>
      </c>
      <c r="L162" t="s">
        <v>31</v>
      </c>
      <c r="M162" t="s">
        <v>889</v>
      </c>
      <c r="N162" t="s">
        <v>33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137</v>
      </c>
      <c r="V162" t="s">
        <v>78</v>
      </c>
      <c r="W162">
        <f>IF(ISBLANK(Q162), 0, IFERROR(VALUE(Q162), 0.7))</f>
        <v>0.05</v>
      </c>
      <c r="X162">
        <f>D162 - C162</f>
        <v>57</v>
      </c>
      <c r="Y162">
        <f>O162 * P162 * (1 - W162)</f>
        <v>4789.5960000000005</v>
      </c>
      <c r="Z162">
        <f>Y162 - S162</f>
        <v>751.95600000000059</v>
      </c>
      <c r="AA162">
        <f>IFERROR(Z162 / Y162, 0)</f>
        <v>0.1569977927157114</v>
      </c>
      <c r="AB162" t="str">
        <f>TEXT(C162, "mmmm")</f>
        <v>August</v>
      </c>
      <c r="AC162">
        <f>YEAR(C162)</f>
        <v>2025</v>
      </c>
      <c r="AD162" t="str">
        <f>IF(X162&lt;0, "Invalid: Ship Date Before Order Date", IF(W162&lt;0, "Invalid: Negative Discount", IF(W162&gt;0.5, "Invalid: Exceeds Allowed Discount", "OK")))</f>
        <v>OK</v>
      </c>
    </row>
    <row r="163" spans="1:30">
      <c r="A163" t="s">
        <v>890</v>
      </c>
      <c r="B163" t="str">
        <f t="shared" si="2"/>
        <v>Unique</v>
      </c>
      <c r="C163" s="3">
        <v>45862</v>
      </c>
      <c r="D163" s="3">
        <v>45868</v>
      </c>
      <c r="E163" t="s">
        <v>893</v>
      </c>
      <c r="F163" t="s">
        <v>61</v>
      </c>
      <c r="G163" t="s">
        <v>26</v>
      </c>
      <c r="H163" t="s">
        <v>73</v>
      </c>
      <c r="I163" t="s">
        <v>28</v>
      </c>
      <c r="J163" t="s">
        <v>135</v>
      </c>
      <c r="K163" t="s">
        <v>30</v>
      </c>
      <c r="L163" t="s">
        <v>198</v>
      </c>
      <c r="M163" t="s">
        <v>895</v>
      </c>
      <c r="N163" t="s">
        <v>67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137</v>
      </c>
      <c r="V163" t="s">
        <v>78</v>
      </c>
      <c r="W163">
        <f>IF(ISBLANK(Q163), 0, IFERROR(VALUE(Q163), 0.7))</f>
        <v>0</v>
      </c>
      <c r="X163">
        <f>D163 - C163</f>
        <v>6</v>
      </c>
      <c r="Y163">
        <f>O163 * P163 * (1 - W163)</f>
        <v>1643.41</v>
      </c>
      <c r="Z163">
        <f>Y163 - S163</f>
        <v>736.0100000000001</v>
      </c>
      <c r="AA163">
        <f>IFERROR(Z163 / Y163, 0)</f>
        <v>0.44785537388722235</v>
      </c>
      <c r="AB163" t="str">
        <f>TEXT(C163, "mmmm")</f>
        <v>July</v>
      </c>
      <c r="AC163">
        <f>YEAR(C163)</f>
        <v>2025</v>
      </c>
      <c r="AD163" t="str">
        <f>IF(X163&lt;0, "Invalid: Ship Date Before Order Date", IF(W163&lt;0, "Invalid: Negative Discount", IF(W163&gt;0.5, "Invalid: Exceeds Allowed Discount", "OK")))</f>
        <v>OK</v>
      </c>
    </row>
    <row r="164" spans="1:30">
      <c r="A164" t="s">
        <v>896</v>
      </c>
      <c r="B164" t="str">
        <f t="shared" si="2"/>
        <v>Unique</v>
      </c>
      <c r="C164" s="3">
        <v>45360</v>
      </c>
      <c r="D164" s="3">
        <v>45365</v>
      </c>
      <c r="E164" t="s">
        <v>899</v>
      </c>
      <c r="F164" t="s">
        <v>93</v>
      </c>
      <c r="G164" t="s">
        <v>41</v>
      </c>
      <c r="H164" t="s">
        <v>73</v>
      </c>
      <c r="I164" t="s">
        <v>249</v>
      </c>
      <c r="J164" t="s">
        <v>250</v>
      </c>
      <c r="K164" t="s">
        <v>45</v>
      </c>
      <c r="L164" t="s">
        <v>65</v>
      </c>
      <c r="M164" t="s">
        <v>900</v>
      </c>
      <c r="N164" t="s">
        <v>33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137</v>
      </c>
      <c r="V164" t="s">
        <v>125</v>
      </c>
      <c r="W164">
        <f>IF(ISBLANK(Q164), 0, IFERROR(VALUE(Q164), 0.7))</f>
        <v>0</v>
      </c>
      <c r="X164">
        <f>D164 - C164</f>
        <v>5</v>
      </c>
      <c r="Y164">
        <f>O164 * P164 * (1 - W164)</f>
        <v>35782.720000000001</v>
      </c>
      <c r="Z164">
        <f>Y164 - S164</f>
        <v>9358.3100000000013</v>
      </c>
      <c r="AA164">
        <f>IFERROR(Z164 / Y164, 0)</f>
        <v>0.2615315437171909</v>
      </c>
      <c r="AB164" t="str">
        <f>TEXT(C164, "mmmm")</f>
        <v>March</v>
      </c>
      <c r="AC164">
        <f>YEAR(C164)</f>
        <v>2024</v>
      </c>
      <c r="AD164" t="str">
        <f>IF(X164&lt;0, "Invalid: Ship Date Before Order Date", IF(W164&lt;0, "Invalid: Negative Discount", IF(W164&gt;0.5, "Invalid: Exceeds Allowed Discount", "OK")))</f>
        <v>OK</v>
      </c>
    </row>
    <row r="165" spans="1:30">
      <c r="A165" t="s">
        <v>901</v>
      </c>
      <c r="B165" t="str">
        <f t="shared" si="2"/>
        <v>Unique</v>
      </c>
      <c r="C165" s="3">
        <v>45921</v>
      </c>
      <c r="D165" s="3">
        <v>45926</v>
      </c>
      <c r="E165" t="s">
        <v>903</v>
      </c>
      <c r="F165" t="s">
        <v>180</v>
      </c>
      <c r="G165" t="s">
        <v>115</v>
      </c>
      <c r="H165" t="s">
        <v>73</v>
      </c>
      <c r="I165" t="s">
        <v>235</v>
      </c>
      <c r="J165" t="s">
        <v>236</v>
      </c>
      <c r="K165" t="s">
        <v>45</v>
      </c>
      <c r="L165" t="s">
        <v>46</v>
      </c>
      <c r="M165" t="s">
        <v>904</v>
      </c>
      <c r="N165" t="s">
        <v>4110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137</v>
      </c>
      <c r="V165" t="s">
        <v>125</v>
      </c>
      <c r="W165">
        <f>IF(ISBLANK(Q165), 0, IFERROR(VALUE(Q165), 0.7))</f>
        <v>0.1</v>
      </c>
      <c r="X165">
        <f>D165 - C165</f>
        <v>5</v>
      </c>
      <c r="Y165">
        <f>O165 * P165 * (1 - W165)</f>
        <v>15679.332</v>
      </c>
      <c r="Z165">
        <f>Y165 - S165</f>
        <v>3201.5120000000006</v>
      </c>
      <c r="AA165">
        <f>IFERROR(Z165 / Y165, 0)</f>
        <v>0.20418675999717339</v>
      </c>
      <c r="AB165" t="str">
        <f>TEXT(C165, "mmmm")</f>
        <v>September</v>
      </c>
      <c r="AC165">
        <f>YEAR(C165)</f>
        <v>2025</v>
      </c>
      <c r="AD165" t="str">
        <f>IF(X165&lt;0, "Invalid: Ship Date Before Order Date", IF(W165&lt;0, "Invalid: Negative Discount", IF(W165&gt;0.5, "Invalid: Exceeds Allowed Discount", "OK")))</f>
        <v>OK</v>
      </c>
    </row>
    <row r="166" spans="1:30">
      <c r="A166" t="s">
        <v>905</v>
      </c>
      <c r="B166" t="str">
        <f t="shared" si="2"/>
        <v>Unique</v>
      </c>
      <c r="C166" s="3">
        <v>45909</v>
      </c>
      <c r="D166" s="3">
        <v>45914</v>
      </c>
      <c r="E166" t="s">
        <v>908</v>
      </c>
      <c r="F166" t="s">
        <v>148</v>
      </c>
      <c r="G166" t="s">
        <v>41</v>
      </c>
      <c r="H166" t="s">
        <v>42</v>
      </c>
      <c r="I166" t="s">
        <v>121</v>
      </c>
      <c r="J166" t="s">
        <v>122</v>
      </c>
      <c r="K166" t="s">
        <v>45</v>
      </c>
      <c r="L166" t="s">
        <v>204</v>
      </c>
      <c r="M166" t="s">
        <v>909</v>
      </c>
      <c r="N166" t="s">
        <v>33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34</v>
      </c>
      <c r="V166" t="s">
        <v>35</v>
      </c>
      <c r="W166">
        <f>IF(ISBLANK(Q166), 0, IFERROR(VALUE(Q166), 0.7))</f>
        <v>0.25</v>
      </c>
      <c r="X166">
        <f>D166 - C166</f>
        <v>5</v>
      </c>
      <c r="Y166">
        <f>O166 * P166 * (1 - W166)</f>
        <v>2365.8150000000001</v>
      </c>
      <c r="Z166">
        <f>Y166 - S166</f>
        <v>817.82500000000005</v>
      </c>
      <c r="AA166">
        <f>IFERROR(Z166 / Y166, 0)</f>
        <v>0.34568425679945392</v>
      </c>
      <c r="AB166" t="str">
        <f>TEXT(C166, "mmmm")</f>
        <v>September</v>
      </c>
      <c r="AC166">
        <f>YEAR(C166)</f>
        <v>2025</v>
      </c>
      <c r="AD166" t="str">
        <f>IF(X166&lt;0, "Invalid: Ship Date Before Order Date", IF(W166&lt;0, "Invalid: Negative Discount", IF(W166&gt;0.5, "Invalid: Exceeds Allowed Discount", "OK")))</f>
        <v>OK</v>
      </c>
    </row>
    <row r="167" spans="1:30">
      <c r="A167" t="s">
        <v>910</v>
      </c>
      <c r="B167" t="str">
        <f t="shared" si="2"/>
        <v>Unique</v>
      </c>
      <c r="C167" s="3">
        <v>45618</v>
      </c>
      <c r="D167" s="3">
        <v>45625</v>
      </c>
      <c r="E167" t="s">
        <v>913</v>
      </c>
      <c r="F167" t="s">
        <v>40</v>
      </c>
      <c r="G167" t="s">
        <v>115</v>
      </c>
      <c r="H167" t="s">
        <v>42</v>
      </c>
      <c r="I167" t="s">
        <v>186</v>
      </c>
      <c r="J167" t="s">
        <v>187</v>
      </c>
      <c r="K167" t="s">
        <v>45</v>
      </c>
      <c r="L167" t="s">
        <v>76</v>
      </c>
      <c r="M167" t="s">
        <v>914</v>
      </c>
      <c r="N167" t="s">
        <v>67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34</v>
      </c>
      <c r="V167" t="s">
        <v>35</v>
      </c>
      <c r="W167">
        <f>IF(ISBLANK(Q167), 0, IFERROR(VALUE(Q167), 0.7))</f>
        <v>0.25</v>
      </c>
      <c r="X167">
        <f>D167 - C167</f>
        <v>7</v>
      </c>
      <c r="Y167">
        <f>O167 * P167 * (1 - W167)</f>
        <v>10268.969999999999</v>
      </c>
      <c r="Z167">
        <f>Y167 - S167</f>
        <v>3798.0499999999993</v>
      </c>
      <c r="AA167">
        <f>IFERROR(Z167 / Y167, 0)</f>
        <v>0.36985695741637181</v>
      </c>
      <c r="AB167" t="str">
        <f>TEXT(C167, "mmmm")</f>
        <v>November</v>
      </c>
      <c r="AC167">
        <f>YEAR(C167)</f>
        <v>2024</v>
      </c>
      <c r="AD167" t="str">
        <f>IF(X167&lt;0, "Invalid: Ship Date Before Order Date", IF(W167&lt;0, "Invalid: Negative Discount", IF(W167&gt;0.5, "Invalid: Exceeds Allowed Discount", "OK")))</f>
        <v>OK</v>
      </c>
    </row>
    <row r="168" spans="1:30">
      <c r="A168" t="s">
        <v>915</v>
      </c>
      <c r="B168" t="str">
        <f t="shared" si="2"/>
        <v>Unique</v>
      </c>
      <c r="C168" s="3">
        <v>45708</v>
      </c>
      <c r="D168" s="3">
        <v>45714</v>
      </c>
      <c r="E168" t="s">
        <v>917</v>
      </c>
      <c r="F168" t="s">
        <v>25</v>
      </c>
      <c r="G168" t="s">
        <v>41</v>
      </c>
      <c r="H168" t="s">
        <v>73</v>
      </c>
      <c r="I168" t="s">
        <v>235</v>
      </c>
      <c r="J168" t="s">
        <v>236</v>
      </c>
      <c r="K168" t="s">
        <v>30</v>
      </c>
      <c r="L168" t="s">
        <v>109</v>
      </c>
      <c r="M168" t="s">
        <v>919</v>
      </c>
      <c r="N168" t="s">
        <v>56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34</v>
      </c>
      <c r="V168" t="s">
        <v>35</v>
      </c>
      <c r="W168">
        <f>IF(ISBLANK(Q168), 0, IFERROR(VALUE(Q168), 0.7))</f>
        <v>0.2</v>
      </c>
      <c r="X168">
        <f>D168 - C168</f>
        <v>6</v>
      </c>
      <c r="Y168">
        <f>O168 * P168 * (1 - W168)</f>
        <v>2046.28</v>
      </c>
      <c r="Z168">
        <f>Y168 - S168</f>
        <v>596.74</v>
      </c>
      <c r="AA168">
        <f>IFERROR(Z168 / Y168, 0)</f>
        <v>0.29162186992982386</v>
      </c>
      <c r="AB168" t="str">
        <f>TEXT(C168, "mmmm")</f>
        <v>February</v>
      </c>
      <c r="AC168">
        <f>YEAR(C168)</f>
        <v>2025</v>
      </c>
      <c r="AD168" t="str">
        <f>IF(X168&lt;0, "Invalid: Ship Date Before Order Date", IF(W168&lt;0, "Invalid: Negative Discount", IF(W168&gt;0.5, "Invalid: Exceeds Allowed Discount", "OK")))</f>
        <v>OK</v>
      </c>
    </row>
    <row r="169" spans="1:30">
      <c r="A169" t="s">
        <v>920</v>
      </c>
      <c r="B169" t="str">
        <f t="shared" si="2"/>
        <v>Unique</v>
      </c>
      <c r="C169" s="3">
        <v>45887</v>
      </c>
      <c r="D169" s="3">
        <v>45887</v>
      </c>
      <c r="E169" t="s">
        <v>923</v>
      </c>
      <c r="F169" t="s">
        <v>61</v>
      </c>
      <c r="G169" t="s">
        <v>115</v>
      </c>
      <c r="H169" t="s">
        <v>62</v>
      </c>
      <c r="I169" t="s">
        <v>229</v>
      </c>
      <c r="J169" t="s">
        <v>230</v>
      </c>
      <c r="K169" t="s">
        <v>30</v>
      </c>
      <c r="L169" t="s">
        <v>156</v>
      </c>
      <c r="M169" t="s">
        <v>924</v>
      </c>
      <c r="N169" t="s">
        <v>56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34</v>
      </c>
      <c r="V169" t="s">
        <v>125</v>
      </c>
      <c r="W169">
        <f>IF(ISBLANK(Q169), 0, IFERROR(VALUE(Q169), 0.7))</f>
        <v>0.15</v>
      </c>
      <c r="X169">
        <f>D169 - C169</f>
        <v>0</v>
      </c>
      <c r="Y169">
        <f>O169 * P169 * (1 - W169)</f>
        <v>23186.6145</v>
      </c>
      <c r="Z169">
        <f>Y169 - S169</f>
        <v>5280.0744999999988</v>
      </c>
      <c r="AA169">
        <f>IFERROR(Z169 / Y169, 0)</f>
        <v>0.22772080417345961</v>
      </c>
      <c r="AB169" t="str">
        <f>TEXT(C169, "mmmm")</f>
        <v>August</v>
      </c>
      <c r="AC169">
        <f>YEAR(C169)</f>
        <v>2025</v>
      </c>
      <c r="AD169" t="str">
        <f>IF(X169&lt;0, "Invalid: Ship Date Before Order Date", IF(W169&lt;0, "Invalid: Negative Discount", IF(W169&gt;0.5, "Invalid: Exceeds Allowed Discount", "OK")))</f>
        <v>OK</v>
      </c>
    </row>
    <row r="170" spans="1:30">
      <c r="A170" t="s">
        <v>925</v>
      </c>
      <c r="B170" t="str">
        <f t="shared" si="2"/>
        <v>Unique</v>
      </c>
      <c r="C170" s="3">
        <v>45677</v>
      </c>
      <c r="D170" s="3">
        <v>45680</v>
      </c>
      <c r="E170" t="s">
        <v>927</v>
      </c>
      <c r="F170" t="s">
        <v>366</v>
      </c>
      <c r="G170" t="s">
        <v>26</v>
      </c>
      <c r="H170" t="s">
        <v>73</v>
      </c>
      <c r="I170" t="s">
        <v>74</v>
      </c>
      <c r="J170" t="s">
        <v>75</v>
      </c>
      <c r="K170" t="s">
        <v>86</v>
      </c>
      <c r="L170" t="s">
        <v>87</v>
      </c>
      <c r="M170" t="s">
        <v>928</v>
      </c>
      <c r="N170" t="s">
        <v>48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34</v>
      </c>
      <c r="V170" t="s">
        <v>78</v>
      </c>
      <c r="W170">
        <f>IF(ISBLANK(Q170), 0, IFERROR(VALUE(Q170), 0.7))</f>
        <v>0.2</v>
      </c>
      <c r="X170">
        <f>D170 - C170</f>
        <v>3</v>
      </c>
      <c r="Y170">
        <f>O170 * P170 * (1 - W170)</f>
        <v>2557.08</v>
      </c>
      <c r="Z170">
        <f>Y170 - S170</f>
        <v>531.38999999999987</v>
      </c>
      <c r="AA170">
        <f>IFERROR(Z170 / Y170, 0)</f>
        <v>0.2078112534609789</v>
      </c>
      <c r="AB170" t="str">
        <f>TEXT(C170, "mmmm")</f>
        <v>January</v>
      </c>
      <c r="AC170">
        <f>YEAR(C170)</f>
        <v>2025</v>
      </c>
      <c r="AD170" t="str">
        <f>IF(X170&lt;0, "Invalid: Ship Date Before Order Date", IF(W170&lt;0, "Invalid: Negative Discount", IF(W170&gt;0.5, "Invalid: Exceeds Allowed Discount", "OK")))</f>
        <v>OK</v>
      </c>
    </row>
    <row r="171" spans="1:30">
      <c r="A171" t="s">
        <v>929</v>
      </c>
      <c r="B171" t="str">
        <f t="shared" si="2"/>
        <v>Unique</v>
      </c>
      <c r="C171" s="3">
        <v>45913</v>
      </c>
      <c r="D171" s="3">
        <v>45913</v>
      </c>
      <c r="E171" t="s">
        <v>932</v>
      </c>
      <c r="F171" t="s">
        <v>210</v>
      </c>
      <c r="G171" t="s">
        <v>26</v>
      </c>
      <c r="H171" t="s">
        <v>42</v>
      </c>
      <c r="I171" t="s">
        <v>216</v>
      </c>
      <c r="J171" t="s">
        <v>217</v>
      </c>
      <c r="K171" t="s">
        <v>30</v>
      </c>
      <c r="L171" t="s">
        <v>54</v>
      </c>
      <c r="M171" t="s">
        <v>933</v>
      </c>
      <c r="N171" t="s">
        <v>67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137</v>
      </c>
      <c r="V171" t="s">
        <v>125</v>
      </c>
      <c r="W171">
        <f>IF(ISBLANK(Q171), 0, IFERROR(VALUE(Q171), 0.7))</f>
        <v>0.05</v>
      </c>
      <c r="X171">
        <f>D171 - C171</f>
        <v>0</v>
      </c>
      <c r="Y171">
        <f>O171 * P171 * (1 - W171)</f>
        <v>5577.6399999999994</v>
      </c>
      <c r="Z171">
        <f>Y171 - S171</f>
        <v>2036.3499999999995</v>
      </c>
      <c r="AA171">
        <f>IFERROR(Z171 / Y171, 0)</f>
        <v>0.36509168752375548</v>
      </c>
      <c r="AB171" t="str">
        <f>TEXT(C171, "mmmm")</f>
        <v>September</v>
      </c>
      <c r="AC171">
        <f>YEAR(C171)</f>
        <v>2025</v>
      </c>
      <c r="AD171" t="str">
        <f>IF(X171&lt;0, "Invalid: Ship Date Before Order Date", IF(W171&lt;0, "Invalid: Negative Discount", IF(W171&gt;0.5, "Invalid: Exceeds Allowed Discount", "OK")))</f>
        <v>OK</v>
      </c>
    </row>
    <row r="172" spans="1:30">
      <c r="A172" t="s">
        <v>934</v>
      </c>
      <c r="B172" t="str">
        <f t="shared" si="2"/>
        <v>Review: Duplicate Order ID</v>
      </c>
      <c r="C172" s="3">
        <v>45847</v>
      </c>
      <c r="D172" s="3">
        <v>45915</v>
      </c>
      <c r="E172" t="s">
        <v>936</v>
      </c>
      <c r="F172" t="s">
        <v>180</v>
      </c>
      <c r="G172" t="s">
        <v>108</v>
      </c>
      <c r="H172" t="s">
        <v>42</v>
      </c>
      <c r="I172" t="s">
        <v>186</v>
      </c>
      <c r="J172" t="s">
        <v>187</v>
      </c>
      <c r="K172" t="s">
        <v>86</v>
      </c>
      <c r="L172" t="s">
        <v>94</v>
      </c>
      <c r="M172" t="s">
        <v>937</v>
      </c>
      <c r="N172" t="s">
        <v>67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34</v>
      </c>
      <c r="V172" t="s">
        <v>35</v>
      </c>
      <c r="W172">
        <f>IF(ISBLANK(Q172), 0, IFERROR(VALUE(Q172), 0.7))</f>
        <v>0</v>
      </c>
      <c r="X172">
        <f>D172 - C172</f>
        <v>68</v>
      </c>
      <c r="Y172">
        <f>O172 * P172 * (1 - W172)</f>
        <v>5133.96</v>
      </c>
      <c r="Z172">
        <f>Y172 - S172</f>
        <v>1203.96</v>
      </c>
      <c r="AA172">
        <f>IFERROR(Z172 / Y172, 0)</f>
        <v>0.23450903396208775</v>
      </c>
      <c r="AB172" t="str">
        <f>TEXT(C172, "mmmm")</f>
        <v>July</v>
      </c>
      <c r="AC172">
        <f>YEAR(C172)</f>
        <v>2025</v>
      </c>
      <c r="AD172" t="str">
        <f>IF(X172&lt;0, "Invalid: Ship Date Before Order Date", IF(W172&lt;0, "Invalid: Negative Discount", IF(W172&gt;0.5, "Invalid: Exceeds Allowed Discount", "OK")))</f>
        <v>OK</v>
      </c>
    </row>
    <row r="173" spans="1:30">
      <c r="A173" t="s">
        <v>938</v>
      </c>
      <c r="B173" t="str">
        <f t="shared" si="2"/>
        <v>Unique</v>
      </c>
      <c r="C173" s="3">
        <v>45711</v>
      </c>
      <c r="D173" s="3">
        <v>45713</v>
      </c>
      <c r="E173" t="s">
        <v>940</v>
      </c>
      <c r="F173" t="s">
        <v>25</v>
      </c>
      <c r="G173" t="s">
        <v>108</v>
      </c>
      <c r="H173" t="s">
        <v>42</v>
      </c>
      <c r="I173" t="s">
        <v>186</v>
      </c>
      <c r="J173" t="s">
        <v>187</v>
      </c>
      <c r="K173" t="s">
        <v>30</v>
      </c>
      <c r="L173" t="s">
        <v>109</v>
      </c>
      <c r="M173" t="s">
        <v>941</v>
      </c>
      <c r="N173" t="s">
        <v>48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34</v>
      </c>
      <c r="V173" t="s">
        <v>35</v>
      </c>
      <c r="W173">
        <f>IF(ISBLANK(Q173), 0, IFERROR(VALUE(Q173), 0.7))</f>
        <v>0.25</v>
      </c>
      <c r="X173">
        <f>D173 - C173</f>
        <v>2</v>
      </c>
      <c r="Y173">
        <f>O173 * P173 * (1 - W173)</f>
        <v>15923.512500000001</v>
      </c>
      <c r="Z173">
        <f>Y173 - S173</f>
        <v>4631.7125000000015</v>
      </c>
      <c r="AA173">
        <f>IFERROR(Z173 / Y173, 0)</f>
        <v>0.29087253832971849</v>
      </c>
      <c r="AB173" t="str">
        <f>TEXT(C173, "mmmm")</f>
        <v>February</v>
      </c>
      <c r="AC173">
        <f>YEAR(C173)</f>
        <v>2025</v>
      </c>
      <c r="AD173" t="str">
        <f>IF(X173&lt;0, "Invalid: Ship Date Before Order Date", IF(W173&lt;0, "Invalid: Negative Discount", IF(W173&gt;0.5, "Invalid: Exceeds Allowed Discount", "OK")))</f>
        <v>OK</v>
      </c>
    </row>
    <row r="174" spans="1:30">
      <c r="A174" t="s">
        <v>942</v>
      </c>
      <c r="B174" t="str">
        <f t="shared" si="2"/>
        <v>Unique</v>
      </c>
      <c r="C174" s="3">
        <v>45696</v>
      </c>
      <c r="D174" s="3">
        <v>45938</v>
      </c>
      <c r="E174" t="s">
        <v>945</v>
      </c>
      <c r="F174" t="s">
        <v>25</v>
      </c>
      <c r="G174" t="s">
        <v>108</v>
      </c>
      <c r="H174" t="s">
        <v>27</v>
      </c>
      <c r="I174" t="s">
        <v>506</v>
      </c>
      <c r="J174" t="s">
        <v>507</v>
      </c>
      <c r="K174" t="s">
        <v>45</v>
      </c>
      <c r="L174" t="s">
        <v>65</v>
      </c>
      <c r="M174" t="s">
        <v>946</v>
      </c>
      <c r="N174" t="s">
        <v>48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124</v>
      </c>
      <c r="V174" t="s">
        <v>125</v>
      </c>
      <c r="W174">
        <f>IF(ISBLANK(Q174), 0, IFERROR(VALUE(Q174), 0.7))</f>
        <v>0.1</v>
      </c>
      <c r="X174">
        <f>D174 - C174</f>
        <v>242</v>
      </c>
      <c r="Y174">
        <f>O174 * P174 * (1 - W174)</f>
        <v>23997.221999999998</v>
      </c>
      <c r="Z174">
        <f>Y174 - S174</f>
        <v>7862.5919999999987</v>
      </c>
      <c r="AA174">
        <f>IFERROR(Z174 / Y174, 0)</f>
        <v>0.32764592501582057</v>
      </c>
      <c r="AB174" t="str">
        <f>TEXT(C174, "mmmm")</f>
        <v>February</v>
      </c>
      <c r="AC174">
        <f>YEAR(C174)</f>
        <v>2025</v>
      </c>
      <c r="AD174" t="str">
        <f>IF(X174&lt;0, "Invalid: Ship Date Before Order Date", IF(W174&lt;0, "Invalid: Negative Discount", IF(W174&gt;0.5, "Invalid: Exceeds Allowed Discount", "OK")))</f>
        <v>OK</v>
      </c>
    </row>
    <row r="175" spans="1:30">
      <c r="A175" t="s">
        <v>947</v>
      </c>
      <c r="B175" t="str">
        <f t="shared" si="2"/>
        <v>Unique</v>
      </c>
      <c r="C175" s="3">
        <v>45327</v>
      </c>
      <c r="D175" s="3">
        <v>45420</v>
      </c>
      <c r="E175" t="s">
        <v>950</v>
      </c>
      <c r="F175" t="s">
        <v>142</v>
      </c>
      <c r="G175" t="s">
        <v>115</v>
      </c>
      <c r="H175" t="s">
        <v>27</v>
      </c>
      <c r="I175" t="s">
        <v>154</v>
      </c>
      <c r="J175" t="s">
        <v>155</v>
      </c>
      <c r="K175" t="s">
        <v>86</v>
      </c>
      <c r="L175" t="s">
        <v>94</v>
      </c>
      <c r="M175" t="s">
        <v>952</v>
      </c>
      <c r="N175" t="s">
        <v>33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34</v>
      </c>
      <c r="V175" t="s">
        <v>35</v>
      </c>
      <c r="W175">
        <f>IF(ISBLANK(Q175), 0, IFERROR(VALUE(Q175), 0.7))</f>
        <v>0.25</v>
      </c>
      <c r="X175">
        <f>D175 - C175</f>
        <v>93</v>
      </c>
      <c r="Y175">
        <f>O175 * P175 * (1 - W175)</f>
        <v>1734.1875</v>
      </c>
      <c r="Z175">
        <f>Y175 - S175</f>
        <v>348.11750000000006</v>
      </c>
      <c r="AA175">
        <f>IFERROR(Z175 / Y175, 0)</f>
        <v>0.20073809781237614</v>
      </c>
      <c r="AB175" t="str">
        <f>TEXT(C175, "mmmm")</f>
        <v>February</v>
      </c>
      <c r="AC175">
        <f>YEAR(C175)</f>
        <v>2024</v>
      </c>
      <c r="AD175" t="str">
        <f>IF(X175&lt;0, "Invalid: Ship Date Before Order Date", IF(W175&lt;0, "Invalid: Negative Discount", IF(W175&gt;0.5, "Invalid: Exceeds Allowed Discount", "OK")))</f>
        <v>OK</v>
      </c>
    </row>
    <row r="176" spans="1:30">
      <c r="A176" t="s">
        <v>953</v>
      </c>
      <c r="B176" t="str">
        <f t="shared" si="2"/>
        <v>Unique</v>
      </c>
      <c r="C176" s="3">
        <v>45928</v>
      </c>
      <c r="D176" s="3">
        <v>45757</v>
      </c>
      <c r="E176" t="s">
        <v>956</v>
      </c>
      <c r="F176" t="s">
        <v>25</v>
      </c>
      <c r="G176" t="s">
        <v>41</v>
      </c>
      <c r="H176" t="s">
        <v>62</v>
      </c>
      <c r="I176" t="s">
        <v>229</v>
      </c>
      <c r="J176" t="s">
        <v>230</v>
      </c>
      <c r="K176" t="s">
        <v>45</v>
      </c>
      <c r="L176" t="s">
        <v>204</v>
      </c>
      <c r="M176" t="s">
        <v>957</v>
      </c>
      <c r="N176" t="s">
        <v>56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137</v>
      </c>
      <c r="V176" t="s">
        <v>125</v>
      </c>
      <c r="W176">
        <f>IF(ISBLANK(Q176), 0, IFERROR(VALUE(Q176), 0.7))</f>
        <v>0.15</v>
      </c>
      <c r="X176">
        <f>D176 - C176</f>
        <v>-171</v>
      </c>
      <c r="Y176">
        <f>O176 * P176 * (1 - W176)</f>
        <v>8264.7029999999995</v>
      </c>
      <c r="Z176">
        <f>Y176 - S176</f>
        <v>3495.9529999999995</v>
      </c>
      <c r="AA176">
        <f>IFERROR(Z176 / Y176, 0)</f>
        <v>0.42299801940856191</v>
      </c>
      <c r="AB176" t="str">
        <f>TEXT(C176, "mmmm")</f>
        <v>September</v>
      </c>
      <c r="AC176">
        <f>YEAR(C176)</f>
        <v>2025</v>
      </c>
      <c r="AD176" t="str">
        <f>IF(X176&lt;0, "Invalid: Ship Date Before Order Date", IF(W176&lt;0, "Invalid: Negative Discount", IF(W176&gt;0.5, "Invalid: Exceeds Allowed Discount", "OK")))</f>
        <v>Invalid: Ship Date Before Order Date</v>
      </c>
    </row>
    <row r="177" spans="1:30">
      <c r="A177" t="s">
        <v>958</v>
      </c>
      <c r="B177" t="str">
        <f t="shared" si="2"/>
        <v>Unique</v>
      </c>
      <c r="C177" s="3">
        <v>45318</v>
      </c>
      <c r="D177" s="3">
        <v>45325</v>
      </c>
      <c r="E177" t="s">
        <v>960</v>
      </c>
      <c r="F177" t="s">
        <v>61</v>
      </c>
      <c r="G177" t="s">
        <v>41</v>
      </c>
      <c r="H177" t="s">
        <v>42</v>
      </c>
      <c r="I177" t="s">
        <v>186</v>
      </c>
      <c r="J177" t="s">
        <v>187</v>
      </c>
      <c r="K177" t="s">
        <v>86</v>
      </c>
      <c r="L177" t="s">
        <v>382</v>
      </c>
      <c r="M177" t="s">
        <v>961</v>
      </c>
      <c r="N177" t="s">
        <v>48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34</v>
      </c>
      <c r="V177" t="s">
        <v>125</v>
      </c>
      <c r="W177">
        <f>IF(ISBLANK(Q177), 0, IFERROR(VALUE(Q177), 0.7))</f>
        <v>0.15</v>
      </c>
      <c r="X177">
        <f>D177 - C177</f>
        <v>7</v>
      </c>
      <c r="Y177">
        <f>O177 * P177 * (1 - W177)</f>
        <v>15906.849000000002</v>
      </c>
      <c r="Z177">
        <f>Y177 - S177</f>
        <v>4892.3890000000029</v>
      </c>
      <c r="AA177">
        <f>IFERROR(Z177 / Y177, 0)</f>
        <v>0.30756493633654297</v>
      </c>
      <c r="AB177" t="str">
        <f>TEXT(C177, "mmmm")</f>
        <v>January</v>
      </c>
      <c r="AC177">
        <f>YEAR(C177)</f>
        <v>2024</v>
      </c>
      <c r="AD177" t="str">
        <f>IF(X177&lt;0, "Invalid: Ship Date Before Order Date", IF(W177&lt;0, "Invalid: Negative Discount", IF(W177&gt;0.5, "Invalid: Exceeds Allowed Discount", "OK")))</f>
        <v>OK</v>
      </c>
    </row>
    <row r="178" spans="1:30">
      <c r="A178" t="s">
        <v>962</v>
      </c>
      <c r="B178" t="str">
        <f t="shared" si="2"/>
        <v>Unique</v>
      </c>
      <c r="C178" s="3">
        <v>45734</v>
      </c>
      <c r="D178" s="3">
        <v>45742</v>
      </c>
      <c r="E178" t="s">
        <v>965</v>
      </c>
      <c r="F178" t="s">
        <v>83</v>
      </c>
      <c r="G178" t="s">
        <v>108</v>
      </c>
      <c r="H178" t="s">
        <v>42</v>
      </c>
      <c r="I178" t="s">
        <v>311</v>
      </c>
      <c r="J178" t="s">
        <v>312</v>
      </c>
      <c r="K178" t="s">
        <v>45</v>
      </c>
      <c r="L178" t="s">
        <v>204</v>
      </c>
      <c r="M178" t="s">
        <v>966</v>
      </c>
      <c r="N178" t="s">
        <v>67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34</v>
      </c>
      <c r="V178" t="s">
        <v>35</v>
      </c>
      <c r="W178">
        <f>IF(ISBLANK(Q178), 0, IFERROR(VALUE(Q178), 0.7))</f>
        <v>0.15</v>
      </c>
      <c r="X178">
        <f>D178 - C178</f>
        <v>8</v>
      </c>
      <c r="Y178">
        <f>O178 * P178 * (1 - W178)</f>
        <v>24229.011999999999</v>
      </c>
      <c r="Z178">
        <f>Y178 - S178</f>
        <v>10318.371999999999</v>
      </c>
      <c r="AA178">
        <f>IFERROR(Z178 / Y178, 0)</f>
        <v>0.42586845885420338</v>
      </c>
      <c r="AB178" t="str">
        <f>TEXT(C178, "mmmm")</f>
        <v>March</v>
      </c>
      <c r="AC178">
        <f>YEAR(C178)</f>
        <v>2025</v>
      </c>
      <c r="AD178" t="str">
        <f>IF(X178&lt;0, "Invalid: Ship Date Before Order Date", IF(W178&lt;0, "Invalid: Negative Discount", IF(W178&gt;0.5, "Invalid: Exceeds Allowed Discount", "OK")))</f>
        <v>OK</v>
      </c>
    </row>
    <row r="179" spans="1:30">
      <c r="A179" t="s">
        <v>967</v>
      </c>
      <c r="B179" t="str">
        <f t="shared" si="2"/>
        <v>Unique</v>
      </c>
      <c r="C179" s="3">
        <v>45297</v>
      </c>
      <c r="D179" s="3">
        <v>45446</v>
      </c>
      <c r="E179" t="s">
        <v>970</v>
      </c>
      <c r="F179" t="s">
        <v>168</v>
      </c>
      <c r="G179" t="s">
        <v>115</v>
      </c>
      <c r="H179" t="s">
        <v>4110</v>
      </c>
      <c r="I179" t="s">
        <v>186</v>
      </c>
      <c r="J179" t="s">
        <v>187</v>
      </c>
      <c r="K179" t="s">
        <v>30</v>
      </c>
      <c r="L179" t="s">
        <v>54</v>
      </c>
      <c r="M179" t="s">
        <v>971</v>
      </c>
      <c r="N179" t="s">
        <v>48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34</v>
      </c>
      <c r="V179" t="s">
        <v>35</v>
      </c>
      <c r="W179">
        <f>IF(ISBLANK(Q179), 0, IFERROR(VALUE(Q179), 0.7))</f>
        <v>0</v>
      </c>
      <c r="X179">
        <f>D179 - C179</f>
        <v>149</v>
      </c>
      <c r="Y179">
        <f>O179 * P179 * (1 - W179)</f>
        <v>31039.599999999999</v>
      </c>
      <c r="Z179">
        <f>Y179 - S179</f>
        <v>10172.879999999997</v>
      </c>
      <c r="AA179">
        <f>IFERROR(Z179 / Y179, 0)</f>
        <v>0.32773875952009685</v>
      </c>
      <c r="AB179" t="str">
        <f>TEXT(C179, "mmmm")</f>
        <v>January</v>
      </c>
      <c r="AC179">
        <f>YEAR(C179)</f>
        <v>2024</v>
      </c>
      <c r="AD179" t="str">
        <f>IF(X179&lt;0, "Invalid: Ship Date Before Order Date", IF(W179&lt;0, "Invalid: Negative Discount", IF(W179&gt;0.5, "Invalid: Exceeds Allowed Discount", "OK")))</f>
        <v>OK</v>
      </c>
    </row>
    <row r="180" spans="1:30">
      <c r="A180" t="s">
        <v>972</v>
      </c>
      <c r="B180" t="str">
        <f t="shared" si="2"/>
        <v>Unique</v>
      </c>
      <c r="C180" s="3">
        <v>45565</v>
      </c>
      <c r="D180" s="3">
        <v>45565</v>
      </c>
      <c r="E180" t="s">
        <v>975</v>
      </c>
      <c r="F180" t="s">
        <v>53</v>
      </c>
      <c r="G180" t="s">
        <v>108</v>
      </c>
      <c r="H180" t="s">
        <v>62</v>
      </c>
      <c r="I180" t="s">
        <v>63</v>
      </c>
      <c r="J180" t="s">
        <v>64</v>
      </c>
      <c r="K180" t="s">
        <v>30</v>
      </c>
      <c r="L180" t="s">
        <v>54</v>
      </c>
      <c r="M180" t="s">
        <v>976</v>
      </c>
      <c r="N180" t="s">
        <v>67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34</v>
      </c>
      <c r="V180" t="s">
        <v>35</v>
      </c>
      <c r="W180">
        <f>IF(ISBLANK(Q180), 0, IFERROR(VALUE(Q180), 0.7))</f>
        <v>0</v>
      </c>
      <c r="X180">
        <f>D180 - C180</f>
        <v>0</v>
      </c>
      <c r="Y180">
        <f>O180 * P180 * (1 - W180)</f>
        <v>13126.96</v>
      </c>
      <c r="Z180">
        <f>Y180 - S180</f>
        <v>2394.5199999999986</v>
      </c>
      <c r="AA180">
        <f>IFERROR(Z180 / Y180, 0)</f>
        <v>0.18241237879905162</v>
      </c>
      <c r="AB180" t="str">
        <f>TEXT(C180, "mmmm")</f>
        <v>September</v>
      </c>
      <c r="AC180">
        <f>YEAR(C180)</f>
        <v>2024</v>
      </c>
      <c r="AD180" t="str">
        <f>IF(X180&lt;0, "Invalid: Ship Date Before Order Date", IF(W180&lt;0, "Invalid: Negative Discount", IF(W180&gt;0.5, "Invalid: Exceeds Allowed Discount", "OK")))</f>
        <v>OK</v>
      </c>
    </row>
    <row r="181" spans="1:30">
      <c r="A181" t="s">
        <v>977</v>
      </c>
      <c r="B181" t="str">
        <f t="shared" si="2"/>
        <v>Unique</v>
      </c>
      <c r="C181" s="3">
        <v>45366</v>
      </c>
      <c r="D181" s="3">
        <v>45370</v>
      </c>
      <c r="E181" t="s">
        <v>980</v>
      </c>
      <c r="F181" t="s">
        <v>72</v>
      </c>
      <c r="G181" t="s">
        <v>41</v>
      </c>
      <c r="H181" t="s">
        <v>62</v>
      </c>
      <c r="I181" t="s">
        <v>339</v>
      </c>
      <c r="J181" t="s">
        <v>340</v>
      </c>
      <c r="K181" t="s">
        <v>45</v>
      </c>
      <c r="L181" t="s">
        <v>65</v>
      </c>
      <c r="M181" t="s">
        <v>981</v>
      </c>
      <c r="N181" t="s">
        <v>67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124</v>
      </c>
      <c r="V181" t="s">
        <v>125</v>
      </c>
      <c r="W181">
        <f>IF(ISBLANK(Q181), 0, IFERROR(VALUE(Q181), 0.7))</f>
        <v>0.25</v>
      </c>
      <c r="X181">
        <f>D181 - C181</f>
        <v>4</v>
      </c>
      <c r="Y181">
        <f>O181 * P181 * (1 - W181)</f>
        <v>9558.9000000000015</v>
      </c>
      <c r="Z181">
        <f>Y181 - S181</f>
        <v>4042.1400000000012</v>
      </c>
      <c r="AA181">
        <f>IFERROR(Z181 / Y181, 0)</f>
        <v>0.42286664783604816</v>
      </c>
      <c r="AB181" t="str">
        <f>TEXT(C181, "mmmm")</f>
        <v>March</v>
      </c>
      <c r="AC181">
        <f>YEAR(C181)</f>
        <v>2024</v>
      </c>
      <c r="AD181" t="str">
        <f>IF(X181&lt;0, "Invalid: Ship Date Before Order Date", IF(W181&lt;0, "Invalid: Negative Discount", IF(W181&gt;0.5, "Invalid: Exceeds Allowed Discount", "OK")))</f>
        <v>OK</v>
      </c>
    </row>
    <row r="182" spans="1:30">
      <c r="A182" t="s">
        <v>982</v>
      </c>
      <c r="B182" t="str">
        <f t="shared" si="2"/>
        <v>Unique</v>
      </c>
      <c r="C182" s="3">
        <v>45530</v>
      </c>
      <c r="D182" s="3">
        <v>45530</v>
      </c>
      <c r="E182" t="s">
        <v>985</v>
      </c>
      <c r="F182" t="s">
        <v>40</v>
      </c>
      <c r="G182" t="s">
        <v>115</v>
      </c>
      <c r="H182" t="s">
        <v>27</v>
      </c>
      <c r="I182" t="s">
        <v>174</v>
      </c>
      <c r="J182" t="s">
        <v>175</v>
      </c>
      <c r="K182" t="s">
        <v>30</v>
      </c>
      <c r="L182" t="s">
        <v>198</v>
      </c>
      <c r="M182" t="s">
        <v>986</v>
      </c>
      <c r="N182" t="s">
        <v>56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34</v>
      </c>
      <c r="V182" t="s">
        <v>35</v>
      </c>
      <c r="W182">
        <f>IF(ISBLANK(Q182), 0, IFERROR(VALUE(Q182), 0.7))</f>
        <v>0.1</v>
      </c>
      <c r="X182">
        <f>D182 - C182</f>
        <v>0</v>
      </c>
      <c r="Y182">
        <f>O182 * P182 * (1 - W182)</f>
        <v>5320.9170000000004</v>
      </c>
      <c r="Z182">
        <f>Y182 - S182</f>
        <v>2279.4170000000004</v>
      </c>
      <c r="AA182">
        <f>IFERROR(Z182 / Y182, 0)</f>
        <v>0.42838800154183954</v>
      </c>
      <c r="AB182" t="str">
        <f>TEXT(C182, "mmmm")</f>
        <v>August</v>
      </c>
      <c r="AC182">
        <f>YEAR(C182)</f>
        <v>2024</v>
      </c>
      <c r="AD182" t="str">
        <f>IF(X182&lt;0, "Invalid: Ship Date Before Order Date", IF(W182&lt;0, "Invalid: Negative Discount", IF(W182&gt;0.5, "Invalid: Exceeds Allowed Discount", "OK")))</f>
        <v>OK</v>
      </c>
    </row>
    <row r="183" spans="1:30">
      <c r="A183" t="s">
        <v>987</v>
      </c>
      <c r="B183" t="str">
        <f t="shared" si="2"/>
        <v>Unique</v>
      </c>
      <c r="C183" s="3">
        <v>45909</v>
      </c>
      <c r="D183" s="3">
        <v>45939</v>
      </c>
      <c r="E183" t="s">
        <v>990</v>
      </c>
      <c r="F183" t="s">
        <v>142</v>
      </c>
      <c r="G183" t="s">
        <v>115</v>
      </c>
      <c r="H183" t="s">
        <v>62</v>
      </c>
      <c r="I183" t="s">
        <v>339</v>
      </c>
      <c r="J183" t="s">
        <v>340</v>
      </c>
      <c r="K183" t="s">
        <v>30</v>
      </c>
      <c r="L183" t="s">
        <v>54</v>
      </c>
      <c r="M183" t="s">
        <v>991</v>
      </c>
      <c r="N183" t="s">
        <v>33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34</v>
      </c>
      <c r="V183" t="s">
        <v>35</v>
      </c>
      <c r="W183">
        <f>IF(ISBLANK(Q183), 0, IFERROR(VALUE(Q183), 0.7))</f>
        <v>0</v>
      </c>
      <c r="X183">
        <f>D183 - C183</f>
        <v>30</v>
      </c>
      <c r="Y183">
        <f>O183 * P183 * (1 - W183)</f>
        <v>10205.799999999999</v>
      </c>
      <c r="Z183">
        <f>Y183 - S183</f>
        <v>4219.4899999999989</v>
      </c>
      <c r="AA183">
        <f>IFERROR(Z183 / Y183, 0)</f>
        <v>0.41344039663720622</v>
      </c>
      <c r="AB183" t="str">
        <f>TEXT(C183, "mmmm")</f>
        <v>September</v>
      </c>
      <c r="AC183">
        <f>YEAR(C183)</f>
        <v>2025</v>
      </c>
      <c r="AD183" t="str">
        <f>IF(X183&lt;0, "Invalid: Ship Date Before Order Date", IF(W183&lt;0, "Invalid: Negative Discount", IF(W183&gt;0.5, "Invalid: Exceeds Allowed Discount", "OK")))</f>
        <v>OK</v>
      </c>
    </row>
    <row r="184" spans="1:30">
      <c r="A184" t="s">
        <v>992</v>
      </c>
      <c r="B184" t="str">
        <f t="shared" si="2"/>
        <v>Unique</v>
      </c>
      <c r="C184" s="3">
        <v>45581</v>
      </c>
      <c r="D184" s="3">
        <v>45581</v>
      </c>
      <c r="E184" t="s">
        <v>993</v>
      </c>
      <c r="F184" t="s">
        <v>72</v>
      </c>
      <c r="G184" t="s">
        <v>115</v>
      </c>
      <c r="H184" t="s">
        <v>42</v>
      </c>
      <c r="I184" t="s">
        <v>186</v>
      </c>
      <c r="J184" t="s">
        <v>187</v>
      </c>
      <c r="K184" t="s">
        <v>86</v>
      </c>
      <c r="L184" t="s">
        <v>382</v>
      </c>
      <c r="M184" t="s">
        <v>994</v>
      </c>
      <c r="N184" t="s">
        <v>67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34</v>
      </c>
      <c r="V184" t="s">
        <v>35</v>
      </c>
      <c r="W184">
        <f>IF(ISBLANK(Q184), 0, IFERROR(VALUE(Q184), 0.7))</f>
        <v>0</v>
      </c>
      <c r="X184">
        <f>D184 - C184</f>
        <v>0</v>
      </c>
      <c r="Y184">
        <f>O184 * P184 * (1 - W184)</f>
        <v>5430.3899999999994</v>
      </c>
      <c r="Z184">
        <f>Y184 - S184</f>
        <v>1722.7299999999996</v>
      </c>
      <c r="AA184">
        <f>IFERROR(Z184 / Y184, 0)</f>
        <v>0.31723872502711586</v>
      </c>
      <c r="AB184" t="str">
        <f>TEXT(C184, "mmmm")</f>
        <v>October</v>
      </c>
      <c r="AC184">
        <f>YEAR(C184)</f>
        <v>2024</v>
      </c>
      <c r="AD184" t="str">
        <f>IF(X184&lt;0, "Invalid: Ship Date Before Order Date", IF(W184&lt;0, "Invalid: Negative Discount", IF(W184&gt;0.5, "Invalid: Exceeds Allowed Discount", "OK")))</f>
        <v>OK</v>
      </c>
    </row>
    <row r="185" spans="1:30">
      <c r="A185" t="s">
        <v>995</v>
      </c>
      <c r="B185" t="str">
        <f t="shared" si="2"/>
        <v>Unique</v>
      </c>
      <c r="C185" s="3">
        <v>45832</v>
      </c>
      <c r="D185" s="3">
        <v>45835</v>
      </c>
      <c r="E185" t="s">
        <v>998</v>
      </c>
      <c r="F185" t="s">
        <v>83</v>
      </c>
      <c r="G185" t="s">
        <v>115</v>
      </c>
      <c r="H185" t="s">
        <v>62</v>
      </c>
      <c r="I185" t="s">
        <v>63</v>
      </c>
      <c r="J185" t="s">
        <v>64</v>
      </c>
      <c r="K185" t="s">
        <v>86</v>
      </c>
      <c r="L185" t="s">
        <v>94</v>
      </c>
      <c r="M185" t="s">
        <v>999</v>
      </c>
      <c r="N185" t="s">
        <v>67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34</v>
      </c>
      <c r="V185" t="s">
        <v>125</v>
      </c>
      <c r="W185">
        <f>IF(ISBLANK(Q185), 0, IFERROR(VALUE(Q185), 0.7))</f>
        <v>0.2</v>
      </c>
      <c r="X185">
        <f>D185 - C185</f>
        <v>3</v>
      </c>
      <c r="Y185">
        <f>O185 * P185 * (1 - W185)</f>
        <v>12907.216</v>
      </c>
      <c r="Z185">
        <f>Y185 - S185</f>
        <v>4579.3260000000009</v>
      </c>
      <c r="AA185">
        <f>IFERROR(Z185 / Y185, 0)</f>
        <v>0.3547880503433119</v>
      </c>
      <c r="AB185" t="str">
        <f>TEXT(C185, "mmmm")</f>
        <v>June</v>
      </c>
      <c r="AC185">
        <f>YEAR(C185)</f>
        <v>2025</v>
      </c>
      <c r="AD185" t="str">
        <f>IF(X185&lt;0, "Invalid: Ship Date Before Order Date", IF(W185&lt;0, "Invalid: Negative Discount", IF(W185&gt;0.5, "Invalid: Exceeds Allowed Discount", "OK")))</f>
        <v>OK</v>
      </c>
    </row>
    <row r="186" spans="1:30">
      <c r="A186" t="s">
        <v>1000</v>
      </c>
      <c r="B186" t="str">
        <f t="shared" si="2"/>
        <v>Unique</v>
      </c>
      <c r="C186" s="3">
        <v>45384</v>
      </c>
      <c r="D186" s="3">
        <v>45388</v>
      </c>
      <c r="E186" t="s">
        <v>1002</v>
      </c>
      <c r="F186" t="s">
        <v>83</v>
      </c>
      <c r="G186" t="s">
        <v>108</v>
      </c>
      <c r="H186" t="s">
        <v>73</v>
      </c>
      <c r="I186" t="s">
        <v>84</v>
      </c>
      <c r="J186" t="s">
        <v>85</v>
      </c>
      <c r="K186" t="s">
        <v>45</v>
      </c>
      <c r="L186" t="s">
        <v>204</v>
      </c>
      <c r="M186" t="s">
        <v>1003</v>
      </c>
      <c r="N186" t="s">
        <v>67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124</v>
      </c>
      <c r="V186" t="s">
        <v>125</v>
      </c>
      <c r="W186">
        <f>IF(ISBLANK(Q186), 0, IFERROR(VALUE(Q186), 0.7))</f>
        <v>0</v>
      </c>
      <c r="X186">
        <f>D186 - C186</f>
        <v>4</v>
      </c>
      <c r="Y186">
        <f>O186 * P186 * (1 - W186)</f>
        <v>1777.96</v>
      </c>
      <c r="Z186">
        <f>Y186 - S186</f>
        <v>756.80000000000007</v>
      </c>
      <c r="AA186">
        <f>IFERROR(Z186 / Y186, 0)</f>
        <v>0.42565637022205227</v>
      </c>
      <c r="AB186" t="str">
        <f>TEXT(C186, "mmmm")</f>
        <v>April</v>
      </c>
      <c r="AC186">
        <f>YEAR(C186)</f>
        <v>2024</v>
      </c>
      <c r="AD186" t="str">
        <f>IF(X186&lt;0, "Invalid: Ship Date Before Order Date", IF(W186&lt;0, "Invalid: Negative Discount", IF(W186&gt;0.5, "Invalid: Exceeds Allowed Discount", "OK")))</f>
        <v>OK</v>
      </c>
    </row>
    <row r="187" spans="1:30">
      <c r="A187" t="s">
        <v>1004</v>
      </c>
      <c r="B187" t="str">
        <f t="shared" si="2"/>
        <v>Unique</v>
      </c>
      <c r="C187" s="3">
        <v>45601</v>
      </c>
      <c r="D187" s="3">
        <v>45609</v>
      </c>
      <c r="E187" t="s">
        <v>1006</v>
      </c>
      <c r="F187" t="s">
        <v>61</v>
      </c>
      <c r="G187" t="s">
        <v>26</v>
      </c>
      <c r="H187" t="s">
        <v>4110</v>
      </c>
      <c r="I187" t="s">
        <v>154</v>
      </c>
      <c r="J187" t="s">
        <v>155</v>
      </c>
      <c r="K187" t="s">
        <v>30</v>
      </c>
      <c r="L187" t="s">
        <v>109</v>
      </c>
      <c r="M187" t="s">
        <v>1007</v>
      </c>
      <c r="N187" t="s">
        <v>33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34</v>
      </c>
      <c r="V187" t="s">
        <v>35</v>
      </c>
      <c r="W187">
        <f>IF(ISBLANK(Q187), 0, IFERROR(VALUE(Q187), 0.7))</f>
        <v>0.2</v>
      </c>
      <c r="X187">
        <f>D187 - C187</f>
        <v>8</v>
      </c>
      <c r="Y187">
        <f>O187 * P187 * (1 - W187)</f>
        <v>1605.0720000000001</v>
      </c>
      <c r="Z187">
        <f>Y187 - S187</f>
        <v>267.79200000000014</v>
      </c>
      <c r="AA187">
        <f>IFERROR(Z187 / Y187, 0)</f>
        <v>0.16684111366966722</v>
      </c>
      <c r="AB187" t="str">
        <f>TEXT(C187, "mmmm")</f>
        <v>November</v>
      </c>
      <c r="AC187">
        <f>YEAR(C187)</f>
        <v>2024</v>
      </c>
      <c r="AD187" t="str">
        <f>IF(X187&lt;0, "Invalid: Ship Date Before Order Date", IF(W187&lt;0, "Invalid: Negative Discount", IF(W187&gt;0.5, "Invalid: Exceeds Allowed Discount", "OK")))</f>
        <v>OK</v>
      </c>
    </row>
    <row r="188" spans="1:30">
      <c r="A188" t="s">
        <v>1008</v>
      </c>
      <c r="B188" t="str">
        <f t="shared" si="2"/>
        <v>Unique</v>
      </c>
      <c r="C188" s="3">
        <v>45492</v>
      </c>
      <c r="D188" s="3">
        <v>45493</v>
      </c>
      <c r="E188" t="s">
        <v>365</v>
      </c>
      <c r="F188" t="s">
        <v>83</v>
      </c>
      <c r="G188" t="s">
        <v>26</v>
      </c>
      <c r="H188" t="s">
        <v>62</v>
      </c>
      <c r="I188" t="s">
        <v>339</v>
      </c>
      <c r="J188" t="s">
        <v>340</v>
      </c>
      <c r="K188" t="s">
        <v>45</v>
      </c>
      <c r="L188" t="s">
        <v>46</v>
      </c>
      <c r="M188" t="s">
        <v>1010</v>
      </c>
      <c r="N188" t="s">
        <v>56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34</v>
      </c>
      <c r="V188" t="s">
        <v>35</v>
      </c>
      <c r="W188">
        <f>IF(ISBLANK(Q188), 0, IFERROR(VALUE(Q188), 0.7))</f>
        <v>0.05</v>
      </c>
      <c r="X188">
        <f>D188 - C188</f>
        <v>1</v>
      </c>
      <c r="Y188">
        <f>O188 * P188 * (1 - W188)</f>
        <v>23996.059499999996</v>
      </c>
      <c r="Z188">
        <f>Y188 - S188</f>
        <v>3828.7794999999969</v>
      </c>
      <c r="AA188">
        <f>IFERROR(Z188 / Y188, 0)</f>
        <v>0.15955867670689838</v>
      </c>
      <c r="AB188" t="str">
        <f>TEXT(C188, "mmmm")</f>
        <v>July</v>
      </c>
      <c r="AC188">
        <f>YEAR(C188)</f>
        <v>2024</v>
      </c>
      <c r="AD188" t="str">
        <f>IF(X188&lt;0, "Invalid: Ship Date Before Order Date", IF(W188&lt;0, "Invalid: Negative Discount", IF(W188&gt;0.5, "Invalid: Exceeds Allowed Discount", "OK")))</f>
        <v>OK</v>
      </c>
    </row>
    <row r="189" spans="1:30">
      <c r="A189" t="s">
        <v>1011</v>
      </c>
      <c r="B189" t="str">
        <f t="shared" si="2"/>
        <v>Unique</v>
      </c>
      <c r="C189" s="3">
        <v>45778</v>
      </c>
      <c r="D189" s="3">
        <v>45779</v>
      </c>
      <c r="E189" t="s">
        <v>1014</v>
      </c>
      <c r="F189" t="s">
        <v>40</v>
      </c>
      <c r="G189" t="s">
        <v>26</v>
      </c>
      <c r="H189" t="s">
        <v>73</v>
      </c>
      <c r="I189" t="s">
        <v>84</v>
      </c>
      <c r="J189" t="s">
        <v>85</v>
      </c>
      <c r="K189" t="s">
        <v>45</v>
      </c>
      <c r="L189" t="s">
        <v>76</v>
      </c>
      <c r="M189" t="s">
        <v>1015</v>
      </c>
      <c r="N189" t="s">
        <v>48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34</v>
      </c>
      <c r="V189" t="s">
        <v>125</v>
      </c>
      <c r="W189">
        <f>IF(ISBLANK(Q189), 0, IFERROR(VALUE(Q189), 0.7))</f>
        <v>0</v>
      </c>
      <c r="X189">
        <f>D189 - C189</f>
        <v>1</v>
      </c>
      <c r="Y189">
        <f>O189 * P189 * (1 - W189)</f>
        <v>8717.2199999999993</v>
      </c>
      <c r="Z189">
        <f>Y189 - S189</f>
        <v>2501.2599999999993</v>
      </c>
      <c r="AA189">
        <f>IFERROR(Z189 / Y189, 0)</f>
        <v>0.28693321953558582</v>
      </c>
      <c r="AB189" t="str">
        <f>TEXT(C189, "mmmm")</f>
        <v>May</v>
      </c>
      <c r="AC189">
        <f>YEAR(C189)</f>
        <v>2025</v>
      </c>
      <c r="AD189" t="str">
        <f>IF(X189&lt;0, "Invalid: Ship Date Before Order Date", IF(W189&lt;0, "Invalid: Negative Discount", IF(W189&gt;0.5, "Invalid: Exceeds Allowed Discount", "OK")))</f>
        <v>OK</v>
      </c>
    </row>
    <row r="190" spans="1:30">
      <c r="A190" t="s">
        <v>1016</v>
      </c>
      <c r="B190" t="str">
        <f t="shared" si="2"/>
        <v>Unique</v>
      </c>
      <c r="C190" s="3">
        <v>45798</v>
      </c>
      <c r="D190" s="3">
        <v>45805</v>
      </c>
      <c r="E190" t="s">
        <v>1019</v>
      </c>
      <c r="F190" t="s">
        <v>142</v>
      </c>
      <c r="G190" t="s">
        <v>108</v>
      </c>
      <c r="H190" t="s">
        <v>42</v>
      </c>
      <c r="I190" t="s">
        <v>121</v>
      </c>
      <c r="J190" t="s">
        <v>122</v>
      </c>
      <c r="K190" t="s">
        <v>45</v>
      </c>
      <c r="L190" t="s">
        <v>204</v>
      </c>
      <c r="M190" t="s">
        <v>1020</v>
      </c>
      <c r="N190" t="s">
        <v>48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34</v>
      </c>
      <c r="V190" t="s">
        <v>35</v>
      </c>
      <c r="W190">
        <f>IF(ISBLANK(Q190), 0, IFERROR(VALUE(Q190), 0.7))</f>
        <v>0.1</v>
      </c>
      <c r="X190">
        <f>D190 - C190</f>
        <v>7</v>
      </c>
      <c r="Y190">
        <f>O190 * P190 * (1 - W190)</f>
        <v>6407.2260000000006</v>
      </c>
      <c r="Z190">
        <f>Y190 - S190</f>
        <v>1484.1360000000004</v>
      </c>
      <c r="AA190">
        <f>IFERROR(Z190 / Y190, 0)</f>
        <v>0.23163471992403581</v>
      </c>
      <c r="AB190" t="str">
        <f>TEXT(C190, "mmmm")</f>
        <v>May</v>
      </c>
      <c r="AC190">
        <f>YEAR(C190)</f>
        <v>2025</v>
      </c>
      <c r="AD190" t="str">
        <f>IF(X190&lt;0, "Invalid: Ship Date Before Order Date", IF(W190&lt;0, "Invalid: Negative Discount", IF(W190&gt;0.5, "Invalid: Exceeds Allowed Discount", "OK")))</f>
        <v>OK</v>
      </c>
    </row>
    <row r="191" spans="1:30">
      <c r="A191" t="s">
        <v>1021</v>
      </c>
      <c r="B191" t="str">
        <f t="shared" si="2"/>
        <v>Unique</v>
      </c>
      <c r="C191" s="3">
        <v>45783</v>
      </c>
      <c r="D191" s="3">
        <v>45784</v>
      </c>
      <c r="E191" t="s">
        <v>1024</v>
      </c>
      <c r="F191" t="s">
        <v>61</v>
      </c>
      <c r="G191" t="s">
        <v>26</v>
      </c>
      <c r="H191" t="s">
        <v>73</v>
      </c>
      <c r="I191" t="s">
        <v>28</v>
      </c>
      <c r="J191" t="s">
        <v>135</v>
      </c>
      <c r="K191" t="s">
        <v>45</v>
      </c>
      <c r="L191" t="s">
        <v>204</v>
      </c>
      <c r="M191" t="s">
        <v>1025</v>
      </c>
      <c r="N191" t="s">
        <v>56</v>
      </c>
      <c r="O191">
        <v>9</v>
      </c>
      <c r="P191">
        <v>3318.24</v>
      </c>
      <c r="R191">
        <v>25384.54</v>
      </c>
      <c r="S191">
        <v>16872.39</v>
      </c>
      <c r="T191">
        <v>8512.15</v>
      </c>
      <c r="U191" t="s">
        <v>34</v>
      </c>
      <c r="V191" t="s">
        <v>35</v>
      </c>
      <c r="W191">
        <f>IF(ISBLANK(Q191), 0, IFERROR(VALUE(Q191), 0.7))</f>
        <v>0</v>
      </c>
      <c r="X191">
        <f>D191 - C191</f>
        <v>1</v>
      </c>
      <c r="Y191">
        <f>O191 * P191 * (1 - W191)</f>
        <v>29864.159999999996</v>
      </c>
      <c r="Z191">
        <f>Y191 - S191</f>
        <v>12991.769999999997</v>
      </c>
      <c r="AA191">
        <f>IFERROR(Z191 / Y191, 0)</f>
        <v>0.43502881045373448</v>
      </c>
      <c r="AB191" t="str">
        <f>TEXT(C191, "mmmm")</f>
        <v>May</v>
      </c>
      <c r="AC191">
        <f>YEAR(C191)</f>
        <v>2025</v>
      </c>
      <c r="AD191" t="str">
        <f>IF(X191&lt;0, "Invalid: Ship Date Before Order Date", IF(W191&lt;0, "Invalid: Negative Discount", IF(W191&gt;0.5, "Invalid: Exceeds Allowed Discount", "OK")))</f>
        <v>OK</v>
      </c>
    </row>
    <row r="192" spans="1:30">
      <c r="A192" t="s">
        <v>1027</v>
      </c>
      <c r="B192" t="str">
        <f t="shared" si="2"/>
        <v>Unique</v>
      </c>
      <c r="C192" s="3">
        <v>45767</v>
      </c>
      <c r="D192" s="3">
        <v>45768</v>
      </c>
      <c r="E192" t="s">
        <v>1030</v>
      </c>
      <c r="F192" t="s">
        <v>107</v>
      </c>
      <c r="G192" t="s">
        <v>26</v>
      </c>
      <c r="H192" t="s">
        <v>62</v>
      </c>
      <c r="I192" t="s">
        <v>339</v>
      </c>
      <c r="J192" t="s">
        <v>340</v>
      </c>
      <c r="K192" t="s">
        <v>30</v>
      </c>
      <c r="L192" t="s">
        <v>156</v>
      </c>
      <c r="M192" t="s">
        <v>1031</v>
      </c>
      <c r="N192" t="s">
        <v>56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34</v>
      </c>
      <c r="V192" t="s">
        <v>35</v>
      </c>
      <c r="W192">
        <f>IF(ISBLANK(Q192), 0, IFERROR(VALUE(Q192), 0.7))</f>
        <v>0.1</v>
      </c>
      <c r="X192">
        <f>D192 - C192</f>
        <v>1</v>
      </c>
      <c r="Y192">
        <f>O192 * P192 * (1 - W192)</f>
        <v>1458.2429999999999</v>
      </c>
      <c r="Z192">
        <f>Y192 - S192</f>
        <v>514.92299999999989</v>
      </c>
      <c r="AA192">
        <f>IFERROR(Z192 / Y192, 0)</f>
        <v>0.35311192990468659</v>
      </c>
      <c r="AB192" t="str">
        <f>TEXT(C192, "mmmm")</f>
        <v>April</v>
      </c>
      <c r="AC192">
        <f>YEAR(C192)</f>
        <v>2025</v>
      </c>
      <c r="AD192" t="str">
        <f>IF(X192&lt;0, "Invalid: Ship Date Before Order Date", IF(W192&lt;0, "Invalid: Negative Discount", IF(W192&gt;0.5, "Invalid: Exceeds Allowed Discount", "OK")))</f>
        <v>OK</v>
      </c>
    </row>
    <row r="193" spans="1:30">
      <c r="A193" t="s">
        <v>1032</v>
      </c>
      <c r="B193" t="str">
        <f t="shared" si="2"/>
        <v>Unique</v>
      </c>
      <c r="C193" s="3">
        <v>45584</v>
      </c>
      <c r="D193" s="3">
        <v>45589</v>
      </c>
      <c r="E193" t="s">
        <v>1034</v>
      </c>
      <c r="F193" t="s">
        <v>168</v>
      </c>
      <c r="G193" t="s">
        <v>41</v>
      </c>
      <c r="H193" t="s">
        <v>62</v>
      </c>
      <c r="I193" t="s">
        <v>339</v>
      </c>
      <c r="J193" t="s">
        <v>340</v>
      </c>
      <c r="K193" t="s">
        <v>45</v>
      </c>
      <c r="L193" t="s">
        <v>204</v>
      </c>
      <c r="M193" t="s">
        <v>1035</v>
      </c>
      <c r="N193" t="s">
        <v>33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34</v>
      </c>
      <c r="V193" t="s">
        <v>35</v>
      </c>
      <c r="W193">
        <f>IF(ISBLANK(Q193), 0, IFERROR(VALUE(Q193), 0.7))</f>
        <v>0.65</v>
      </c>
      <c r="X193">
        <f>D193 - C193</f>
        <v>5</v>
      </c>
      <c r="Y193">
        <f>O193 * P193 * (1 - W193)</f>
        <v>9047.64</v>
      </c>
      <c r="Z193">
        <f>Y193 - S193</f>
        <v>-10350.040000000001</v>
      </c>
      <c r="AA193">
        <f>IFERROR(Z193 / Y193, 0)</f>
        <v>-1.1439491403283069</v>
      </c>
      <c r="AB193" t="str">
        <f>TEXT(C193, "mmmm")</f>
        <v>October</v>
      </c>
      <c r="AC193">
        <f>YEAR(C193)</f>
        <v>2024</v>
      </c>
      <c r="AD193" t="str">
        <f>IF(X193&lt;0, "Invalid: Ship Date Before Order Date", IF(W193&lt;0, "Invalid: Negative Discount", IF(W193&gt;0.5, "Invalid: Exceeds Allowed Discount", "OK")))</f>
        <v>Invalid: Exceeds Allowed Discount</v>
      </c>
    </row>
    <row r="194" spans="1:30">
      <c r="A194" t="s">
        <v>1036</v>
      </c>
      <c r="B194" t="str">
        <f t="shared" si="2"/>
        <v>Unique</v>
      </c>
      <c r="C194" s="3">
        <v>45635</v>
      </c>
      <c r="D194" s="3">
        <v>45642</v>
      </c>
      <c r="E194" t="s">
        <v>1039</v>
      </c>
      <c r="F194" t="s">
        <v>53</v>
      </c>
      <c r="G194" t="s">
        <v>115</v>
      </c>
      <c r="H194" t="s">
        <v>73</v>
      </c>
      <c r="I194" t="s">
        <v>235</v>
      </c>
      <c r="J194" t="s">
        <v>236</v>
      </c>
      <c r="K194" t="s">
        <v>45</v>
      </c>
      <c r="L194" t="s">
        <v>76</v>
      </c>
      <c r="M194" t="s">
        <v>1040</v>
      </c>
      <c r="N194" t="s">
        <v>56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34</v>
      </c>
      <c r="V194" t="s">
        <v>35</v>
      </c>
      <c r="W194">
        <f>IF(ISBLANK(Q194), 0, IFERROR(VALUE(Q194), 0.7))</f>
        <v>0</v>
      </c>
      <c r="X194">
        <f>D194 - C194</f>
        <v>7</v>
      </c>
      <c r="Y194">
        <f>O194 * P194 * (1 - W194)</f>
        <v>8764.1200000000008</v>
      </c>
      <c r="Z194">
        <f>Y194 - S194</f>
        <v>1544.0700000000006</v>
      </c>
      <c r="AA194">
        <f>IFERROR(Z194 / Y194, 0)</f>
        <v>0.17618083732308554</v>
      </c>
      <c r="AB194" t="str">
        <f>TEXT(C194, "mmmm")</f>
        <v>December</v>
      </c>
      <c r="AC194">
        <f>YEAR(C194)</f>
        <v>2024</v>
      </c>
      <c r="AD194" t="str">
        <f>IF(X194&lt;0, "Invalid: Ship Date Before Order Date", IF(W194&lt;0, "Invalid: Negative Discount", IF(W194&gt;0.5, "Invalid: Exceeds Allowed Discount", "OK")))</f>
        <v>OK</v>
      </c>
    </row>
    <row r="195" spans="1:30">
      <c r="A195" t="s">
        <v>1041</v>
      </c>
      <c r="B195" t="str">
        <f t="shared" ref="B195:B258" si="3">IF(COUNTIF(A:A, A195)&gt;1, "Review: Duplicate Order ID", "Unique")</f>
        <v>Unique</v>
      </c>
      <c r="C195" s="3">
        <v>45466</v>
      </c>
      <c r="D195" s="3">
        <v>45471</v>
      </c>
      <c r="E195" t="s">
        <v>1044</v>
      </c>
      <c r="F195" t="s">
        <v>142</v>
      </c>
      <c r="G195" t="s">
        <v>41</v>
      </c>
      <c r="H195" t="s">
        <v>27</v>
      </c>
      <c r="I195" t="s">
        <v>154</v>
      </c>
      <c r="J195" t="s">
        <v>155</v>
      </c>
      <c r="K195" t="s">
        <v>86</v>
      </c>
      <c r="L195" t="s">
        <v>94</v>
      </c>
      <c r="M195" t="s">
        <v>1045</v>
      </c>
      <c r="N195" t="s">
        <v>48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124</v>
      </c>
      <c r="V195" t="s">
        <v>125</v>
      </c>
      <c r="W195">
        <f>IF(ISBLANK(Q195), 0, IFERROR(VALUE(Q195), 0.7))</f>
        <v>0.2</v>
      </c>
      <c r="X195">
        <f>D195 - C195</f>
        <v>5</v>
      </c>
      <c r="Y195">
        <f>O195 * P195 * (1 - W195)</f>
        <v>9391.8240000000005</v>
      </c>
      <c r="Z195">
        <f>Y195 - S195</f>
        <v>3378.6040000000003</v>
      </c>
      <c r="AA195">
        <f>IFERROR(Z195 / Y195, 0)</f>
        <v>0.35973885370935399</v>
      </c>
      <c r="AB195" t="str">
        <f>TEXT(C195, "mmmm")</f>
        <v>June</v>
      </c>
      <c r="AC195">
        <f>YEAR(C195)</f>
        <v>2024</v>
      </c>
      <c r="AD195" t="str">
        <f>IF(X195&lt;0, "Invalid: Ship Date Before Order Date", IF(W195&lt;0, "Invalid: Negative Discount", IF(W195&gt;0.5, "Invalid: Exceeds Allowed Discount", "OK")))</f>
        <v>OK</v>
      </c>
    </row>
    <row r="196" spans="1:30">
      <c r="A196" t="s">
        <v>1046</v>
      </c>
      <c r="B196" t="str">
        <f t="shared" si="3"/>
        <v>Unique</v>
      </c>
      <c r="C196" s="3">
        <v>45685</v>
      </c>
      <c r="D196" s="3">
        <v>45688</v>
      </c>
      <c r="E196" t="s">
        <v>1049</v>
      </c>
      <c r="F196" t="s">
        <v>142</v>
      </c>
      <c r="G196" t="s">
        <v>26</v>
      </c>
      <c r="H196" t="s">
        <v>73</v>
      </c>
      <c r="I196" t="s">
        <v>74</v>
      </c>
      <c r="J196" t="s">
        <v>75</v>
      </c>
      <c r="K196" t="s">
        <v>45</v>
      </c>
      <c r="L196" t="s">
        <v>65</v>
      </c>
      <c r="M196" t="s">
        <v>1051</v>
      </c>
      <c r="N196" t="s">
        <v>56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137</v>
      </c>
      <c r="V196" t="s">
        <v>125</v>
      </c>
      <c r="W196">
        <f>IF(ISBLANK(Q196), 0, IFERROR(VALUE(Q196), 0.7))</f>
        <v>0.05</v>
      </c>
      <c r="X196">
        <f>D196 - C196</f>
        <v>3</v>
      </c>
      <c r="Y196">
        <f>O196 * P196 * (1 - W196)</f>
        <v>7339.2344999999996</v>
      </c>
      <c r="Z196">
        <f>Y196 - S196</f>
        <v>1905.1144999999997</v>
      </c>
      <c r="AA196">
        <f>IFERROR(Z196 / Y196, 0)</f>
        <v>0.25957945614082772</v>
      </c>
      <c r="AB196" t="str">
        <f>TEXT(C196, "mmmm")</f>
        <v>January</v>
      </c>
      <c r="AC196">
        <f>YEAR(C196)</f>
        <v>2025</v>
      </c>
      <c r="AD196" t="str">
        <f>IF(X196&lt;0, "Invalid: Ship Date Before Order Date", IF(W196&lt;0, "Invalid: Negative Discount", IF(W196&gt;0.5, "Invalid: Exceeds Allowed Discount", "OK")))</f>
        <v>OK</v>
      </c>
    </row>
    <row r="197" spans="1:30">
      <c r="A197" t="s">
        <v>1052</v>
      </c>
      <c r="B197" t="str">
        <f t="shared" si="3"/>
        <v>Unique</v>
      </c>
      <c r="C197" s="3">
        <v>45860</v>
      </c>
      <c r="D197" s="3">
        <v>45862</v>
      </c>
      <c r="E197" t="s">
        <v>1055</v>
      </c>
      <c r="F197" t="s">
        <v>93</v>
      </c>
      <c r="G197" t="s">
        <v>115</v>
      </c>
      <c r="H197" t="s">
        <v>62</v>
      </c>
      <c r="I197" t="s">
        <v>100</v>
      </c>
      <c r="J197" t="s">
        <v>101</v>
      </c>
      <c r="K197" t="s">
        <v>45</v>
      </c>
      <c r="L197" t="s">
        <v>65</v>
      </c>
      <c r="M197" t="s">
        <v>1056</v>
      </c>
      <c r="N197" t="s">
        <v>48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34</v>
      </c>
      <c r="V197" t="s">
        <v>35</v>
      </c>
      <c r="W197">
        <f>IF(ISBLANK(Q197), 0, IFERROR(VALUE(Q197), 0.7))</f>
        <v>0</v>
      </c>
      <c r="X197">
        <f>D197 - C197</f>
        <v>2</v>
      </c>
      <c r="Y197">
        <f>O197 * P197 * (1 - W197)</f>
        <v>9614.15</v>
      </c>
      <c r="Z197">
        <f>Y197 - S197</f>
        <v>2037.3099999999995</v>
      </c>
      <c r="AA197">
        <f>IFERROR(Z197 / Y197, 0)</f>
        <v>0.21190744891644084</v>
      </c>
      <c r="AB197" t="str">
        <f>TEXT(C197, "mmmm")</f>
        <v>July</v>
      </c>
      <c r="AC197">
        <f>YEAR(C197)</f>
        <v>2025</v>
      </c>
      <c r="AD197" t="str">
        <f>IF(X197&lt;0, "Invalid: Ship Date Before Order Date", IF(W197&lt;0, "Invalid: Negative Discount", IF(W197&gt;0.5, "Invalid: Exceeds Allowed Discount", "OK")))</f>
        <v>OK</v>
      </c>
    </row>
    <row r="198" spans="1:30">
      <c r="A198" t="s">
        <v>1057</v>
      </c>
      <c r="B198" t="str">
        <f t="shared" si="3"/>
        <v>Unique</v>
      </c>
      <c r="C198" s="3">
        <v>45313</v>
      </c>
      <c r="D198" s="3">
        <v>45316</v>
      </c>
      <c r="E198" t="s">
        <v>1060</v>
      </c>
      <c r="F198" t="s">
        <v>366</v>
      </c>
      <c r="G198" t="s">
        <v>115</v>
      </c>
      <c r="H198" t="s">
        <v>27</v>
      </c>
      <c r="I198" t="s">
        <v>174</v>
      </c>
      <c r="J198" t="s">
        <v>175</v>
      </c>
      <c r="K198" t="s">
        <v>30</v>
      </c>
      <c r="L198" t="s">
        <v>156</v>
      </c>
      <c r="M198" t="s">
        <v>1061</v>
      </c>
      <c r="N198" t="s">
        <v>56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34</v>
      </c>
      <c r="V198" t="s">
        <v>35</v>
      </c>
      <c r="W198">
        <f>IF(ISBLANK(Q198), 0, IFERROR(VALUE(Q198), 0.7))</f>
        <v>0.1</v>
      </c>
      <c r="X198">
        <f>D198 - C198</f>
        <v>3</v>
      </c>
      <c r="Y198">
        <f>O198 * P198 * (1 - W198)</f>
        <v>3272.4810000000002</v>
      </c>
      <c r="Z198">
        <f>Y198 - S198</f>
        <v>755.04100000000017</v>
      </c>
      <c r="AA198">
        <f>IFERROR(Z198 / Y198, 0)</f>
        <v>0.23072433422837293</v>
      </c>
      <c r="AB198" t="str">
        <f>TEXT(C198, "mmmm")</f>
        <v>January</v>
      </c>
      <c r="AC198">
        <f>YEAR(C198)</f>
        <v>2024</v>
      </c>
      <c r="AD198" t="str">
        <f>IF(X198&lt;0, "Invalid: Ship Date Before Order Date", IF(W198&lt;0, "Invalid: Negative Discount", IF(W198&gt;0.5, "Invalid: Exceeds Allowed Discount", "OK")))</f>
        <v>OK</v>
      </c>
    </row>
    <row r="199" spans="1:30">
      <c r="A199" t="s">
        <v>1062</v>
      </c>
      <c r="B199" t="str">
        <f t="shared" si="3"/>
        <v>Unique</v>
      </c>
      <c r="C199" s="3">
        <v>45747</v>
      </c>
      <c r="D199" s="3">
        <v>45842</v>
      </c>
      <c r="E199" t="s">
        <v>564</v>
      </c>
      <c r="F199" t="s">
        <v>148</v>
      </c>
      <c r="G199" t="s">
        <v>41</v>
      </c>
      <c r="H199" t="s">
        <v>42</v>
      </c>
      <c r="I199" t="s">
        <v>186</v>
      </c>
      <c r="J199" t="s">
        <v>187</v>
      </c>
      <c r="K199" t="s">
        <v>30</v>
      </c>
      <c r="L199" t="s">
        <v>156</v>
      </c>
      <c r="M199" t="s">
        <v>1064</v>
      </c>
      <c r="N199" t="s">
        <v>33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34</v>
      </c>
      <c r="V199" t="s">
        <v>35</v>
      </c>
      <c r="W199">
        <f>IF(ISBLANK(Q199), 0, IFERROR(VALUE(Q199), 0.7))</f>
        <v>0.15</v>
      </c>
      <c r="X199">
        <f>D199 - C199</f>
        <v>95</v>
      </c>
      <c r="Y199">
        <f>O199 * P199 * (1 - W199)</f>
        <v>17409.869999999995</v>
      </c>
      <c r="Z199">
        <f>Y199 - S199</f>
        <v>3333.6199999999953</v>
      </c>
      <c r="AA199">
        <f>IFERROR(Z199 / Y199, 0)</f>
        <v>0.19147874165631312</v>
      </c>
      <c r="AB199" t="str">
        <f>TEXT(C199, "mmmm")</f>
        <v>March</v>
      </c>
      <c r="AC199">
        <f>YEAR(C199)</f>
        <v>2025</v>
      </c>
      <c r="AD199" t="str">
        <f>IF(X199&lt;0, "Invalid: Ship Date Before Order Date", IF(W199&lt;0, "Invalid: Negative Discount", IF(W199&gt;0.5, "Invalid: Exceeds Allowed Discount", "OK")))</f>
        <v>OK</v>
      </c>
    </row>
    <row r="200" spans="1:30">
      <c r="A200" t="s">
        <v>1065</v>
      </c>
      <c r="B200" t="str">
        <f t="shared" si="3"/>
        <v>Unique</v>
      </c>
      <c r="C200" s="3">
        <v>45418</v>
      </c>
      <c r="D200" s="3">
        <v>45449</v>
      </c>
      <c r="E200" t="s">
        <v>1068</v>
      </c>
      <c r="F200" t="s">
        <v>168</v>
      </c>
      <c r="G200" t="s">
        <v>26</v>
      </c>
      <c r="H200" t="s">
        <v>73</v>
      </c>
      <c r="I200" t="s">
        <v>235</v>
      </c>
      <c r="J200" t="s">
        <v>236</v>
      </c>
      <c r="K200" t="s">
        <v>30</v>
      </c>
      <c r="L200" t="s">
        <v>54</v>
      </c>
      <c r="M200" t="s">
        <v>1069</v>
      </c>
      <c r="N200" t="s">
        <v>33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200</v>
      </c>
      <c r="V200" t="s">
        <v>78</v>
      </c>
      <c r="W200">
        <f>IF(ISBLANK(Q200), 0, IFERROR(VALUE(Q200), 0.7))</f>
        <v>0.05</v>
      </c>
      <c r="X200">
        <f>D200 - C200</f>
        <v>31</v>
      </c>
      <c r="Y200">
        <f>O200 * P200 * (1 - W200)</f>
        <v>1125.3509999999999</v>
      </c>
      <c r="Z200">
        <f>Y200 - S200</f>
        <v>448.38099999999986</v>
      </c>
      <c r="AA200">
        <f>IFERROR(Z200 / Y200, 0)</f>
        <v>0.39843657667696558</v>
      </c>
      <c r="AB200" t="str">
        <f>TEXT(C200, "mmmm")</f>
        <v>May</v>
      </c>
      <c r="AC200">
        <f>YEAR(C200)</f>
        <v>2024</v>
      </c>
      <c r="AD200" t="str">
        <f>IF(X200&lt;0, "Invalid: Ship Date Before Order Date", IF(W200&lt;0, "Invalid: Negative Discount", IF(W200&gt;0.5, "Invalid: Exceeds Allowed Discount", "OK")))</f>
        <v>OK</v>
      </c>
    </row>
    <row r="201" spans="1:30">
      <c r="A201" t="s">
        <v>1070</v>
      </c>
      <c r="B201" t="str">
        <f t="shared" si="3"/>
        <v>Unique</v>
      </c>
      <c r="C201" s="3">
        <v>45363</v>
      </c>
      <c r="D201" s="3">
        <v>45629</v>
      </c>
      <c r="E201" t="s">
        <v>1072</v>
      </c>
      <c r="F201" t="s">
        <v>148</v>
      </c>
      <c r="G201" t="s">
        <v>115</v>
      </c>
      <c r="H201" t="s">
        <v>42</v>
      </c>
      <c r="I201" t="s">
        <v>186</v>
      </c>
      <c r="J201" t="s">
        <v>187</v>
      </c>
      <c r="K201" t="s">
        <v>86</v>
      </c>
      <c r="L201" t="s">
        <v>382</v>
      </c>
      <c r="M201" t="s">
        <v>1073</v>
      </c>
      <c r="N201" t="s">
        <v>4110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34</v>
      </c>
      <c r="V201" t="s">
        <v>35</v>
      </c>
      <c r="W201">
        <f>IF(ISBLANK(Q201), 0, IFERROR(VALUE(Q201), 0.7))</f>
        <v>0.25</v>
      </c>
      <c r="X201">
        <f>D201 - C201</f>
        <v>266</v>
      </c>
      <c r="Y201">
        <f>O201 * P201 * (1 - W201)</f>
        <v>9835.11</v>
      </c>
      <c r="Z201">
        <f>Y201 - S201</f>
        <v>4397.47</v>
      </c>
      <c r="AA201">
        <f>IFERROR(Z201 / Y201, 0)</f>
        <v>0.44711955433136996</v>
      </c>
      <c r="AB201" t="str">
        <f>TEXT(C201, "mmmm")</f>
        <v>March</v>
      </c>
      <c r="AC201">
        <f>YEAR(C201)</f>
        <v>2024</v>
      </c>
      <c r="AD201" t="str">
        <f>IF(X201&lt;0, "Invalid: Ship Date Before Order Date", IF(W201&lt;0, "Invalid: Negative Discount", IF(W201&gt;0.5, "Invalid: Exceeds Allowed Discount", "OK")))</f>
        <v>OK</v>
      </c>
    </row>
    <row r="202" spans="1:30">
      <c r="A202" t="s">
        <v>1074</v>
      </c>
      <c r="B202" t="str">
        <f t="shared" si="3"/>
        <v>Unique</v>
      </c>
      <c r="C202" s="3">
        <v>45835</v>
      </c>
      <c r="D202" s="3">
        <v>45843</v>
      </c>
      <c r="E202" t="s">
        <v>1076</v>
      </c>
      <c r="F202" t="s">
        <v>142</v>
      </c>
      <c r="G202" t="s">
        <v>41</v>
      </c>
      <c r="H202" t="s">
        <v>27</v>
      </c>
      <c r="I202" t="s">
        <v>28</v>
      </c>
      <c r="J202" t="s">
        <v>29</v>
      </c>
      <c r="K202" t="s">
        <v>86</v>
      </c>
      <c r="L202" t="s">
        <v>94</v>
      </c>
      <c r="M202" t="s">
        <v>1077</v>
      </c>
      <c r="N202" t="s">
        <v>56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137</v>
      </c>
      <c r="V202" t="s">
        <v>78</v>
      </c>
      <c r="W202">
        <f>IF(ISBLANK(Q202), 0, IFERROR(VALUE(Q202), 0.7))</f>
        <v>0.1</v>
      </c>
      <c r="X202">
        <f>D202 - C202</f>
        <v>8</v>
      </c>
      <c r="Y202">
        <f>O202 * P202 * (1 - W202)</f>
        <v>12907.980000000001</v>
      </c>
      <c r="Z202">
        <f>Y202 - S202</f>
        <v>3710.9000000000015</v>
      </c>
      <c r="AA202">
        <f>IFERROR(Z202 / Y202, 0)</f>
        <v>0.28748882474252369</v>
      </c>
      <c r="AB202" t="str">
        <f>TEXT(C202, "mmmm")</f>
        <v>June</v>
      </c>
      <c r="AC202">
        <f>YEAR(C202)</f>
        <v>2025</v>
      </c>
      <c r="AD202" t="str">
        <f>IF(X202&lt;0, "Invalid: Ship Date Before Order Date", IF(W202&lt;0, "Invalid: Negative Discount", IF(W202&gt;0.5, "Invalid: Exceeds Allowed Discount", "OK")))</f>
        <v>OK</v>
      </c>
    </row>
    <row r="203" spans="1:30">
      <c r="A203" t="s">
        <v>1078</v>
      </c>
      <c r="B203" t="str">
        <f t="shared" si="3"/>
        <v>Unique</v>
      </c>
      <c r="C203" s="3">
        <v>45864</v>
      </c>
      <c r="D203" s="3">
        <v>45872</v>
      </c>
      <c r="E203" t="s">
        <v>1081</v>
      </c>
      <c r="F203" t="s">
        <v>83</v>
      </c>
      <c r="G203" t="s">
        <v>26</v>
      </c>
      <c r="H203" t="s">
        <v>73</v>
      </c>
      <c r="I203" t="s">
        <v>84</v>
      </c>
      <c r="J203" t="s">
        <v>85</v>
      </c>
      <c r="K203" t="s">
        <v>30</v>
      </c>
      <c r="L203" t="s">
        <v>109</v>
      </c>
      <c r="M203" t="s">
        <v>1082</v>
      </c>
      <c r="N203" t="s">
        <v>33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124</v>
      </c>
      <c r="V203" t="s">
        <v>78</v>
      </c>
      <c r="W203">
        <f>IF(ISBLANK(Q203), 0, IFERROR(VALUE(Q203), 0.7))</f>
        <v>-0.16</v>
      </c>
      <c r="X203">
        <f>D203 - C203</f>
        <v>8</v>
      </c>
      <c r="Y203">
        <f>O203 * P203 * (1 - W203)</f>
        <v>5808.1895999999997</v>
      </c>
      <c r="Z203">
        <f>Y203 - S203</f>
        <v>2853.3295999999996</v>
      </c>
      <c r="AA203">
        <f>IFERROR(Z203 / Y203, 0)</f>
        <v>0.49125972058487893</v>
      </c>
      <c r="AB203" t="str">
        <f>TEXT(C203, "mmmm")</f>
        <v>July</v>
      </c>
      <c r="AC203">
        <f>YEAR(C203)</f>
        <v>2025</v>
      </c>
      <c r="AD203" t="str">
        <f>IF(X203&lt;0, "Invalid: Ship Date Before Order Date", IF(W203&lt;0, "Invalid: Negative Discount", IF(W203&gt;0.5, "Invalid: Exceeds Allowed Discount", "OK")))</f>
        <v>Invalid: Negative Discount</v>
      </c>
    </row>
    <row r="204" spans="1:30">
      <c r="A204" t="s">
        <v>1083</v>
      </c>
      <c r="B204" t="str">
        <f t="shared" si="3"/>
        <v>Unique</v>
      </c>
      <c r="C204" s="3">
        <v>45744</v>
      </c>
      <c r="D204" s="3">
        <v>45744</v>
      </c>
      <c r="E204" t="s">
        <v>1086</v>
      </c>
      <c r="F204" t="s">
        <v>168</v>
      </c>
      <c r="G204" t="s">
        <v>108</v>
      </c>
      <c r="H204" t="s">
        <v>73</v>
      </c>
      <c r="I204" t="s">
        <v>249</v>
      </c>
      <c r="J204" t="s">
        <v>250</v>
      </c>
      <c r="K204" t="s">
        <v>86</v>
      </c>
      <c r="L204" t="s">
        <v>87</v>
      </c>
      <c r="M204" t="s">
        <v>1087</v>
      </c>
      <c r="N204" t="s">
        <v>67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34</v>
      </c>
      <c r="V204" t="s">
        <v>35</v>
      </c>
      <c r="W204">
        <f>IF(ISBLANK(Q204), 0, IFERROR(VALUE(Q204), 0.7))</f>
        <v>0.05</v>
      </c>
      <c r="X204">
        <f>D204 - C204</f>
        <v>0</v>
      </c>
      <c r="Y204">
        <f>O204 * P204 * (1 - W204)</f>
        <v>13231.144</v>
      </c>
      <c r="Z204">
        <f>Y204 - S204</f>
        <v>1941.0840000000007</v>
      </c>
      <c r="AA204">
        <f>IFERROR(Z204 / Y204, 0)</f>
        <v>0.14670568168557463</v>
      </c>
      <c r="AB204" t="str">
        <f>TEXT(C204, "mmmm")</f>
        <v>March</v>
      </c>
      <c r="AC204">
        <f>YEAR(C204)</f>
        <v>2025</v>
      </c>
      <c r="AD204" t="str">
        <f>IF(X204&lt;0, "Invalid: Ship Date Before Order Date", IF(W204&lt;0, "Invalid: Negative Discount", IF(W204&gt;0.5, "Invalid: Exceeds Allowed Discount", "OK")))</f>
        <v>OK</v>
      </c>
    </row>
    <row r="205" spans="1:30">
      <c r="A205" t="s">
        <v>1088</v>
      </c>
      <c r="B205" t="str">
        <f t="shared" si="3"/>
        <v>Unique</v>
      </c>
      <c r="C205" s="3">
        <v>45379</v>
      </c>
      <c r="D205" s="3">
        <v>45381</v>
      </c>
      <c r="E205" t="s">
        <v>1091</v>
      </c>
      <c r="F205" t="s">
        <v>168</v>
      </c>
      <c r="G205" t="s">
        <v>108</v>
      </c>
      <c r="H205" t="s">
        <v>73</v>
      </c>
      <c r="I205" t="s">
        <v>28</v>
      </c>
      <c r="J205" t="s">
        <v>135</v>
      </c>
      <c r="K205" t="s">
        <v>86</v>
      </c>
      <c r="L205" t="s">
        <v>87</v>
      </c>
      <c r="M205" t="s">
        <v>1092</v>
      </c>
      <c r="N205" t="s">
        <v>33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34</v>
      </c>
      <c r="V205" t="s">
        <v>35</v>
      </c>
      <c r="W205">
        <f>IF(ISBLANK(Q205), 0, IFERROR(VALUE(Q205), 0.7))</f>
        <v>0.15</v>
      </c>
      <c r="X205">
        <f>D205 - C205</f>
        <v>2</v>
      </c>
      <c r="Y205">
        <f>O205 * P205 * (1 - W205)</f>
        <v>484.78899999999999</v>
      </c>
      <c r="Z205">
        <f>Y205 - S205</f>
        <v>151.24899999999997</v>
      </c>
      <c r="AA205">
        <f>IFERROR(Z205 / Y205, 0)</f>
        <v>0.3119893396921134</v>
      </c>
      <c r="AB205" t="str">
        <f>TEXT(C205, "mmmm")</f>
        <v>March</v>
      </c>
      <c r="AC205">
        <f>YEAR(C205)</f>
        <v>2024</v>
      </c>
      <c r="AD205" t="str">
        <f>IF(X205&lt;0, "Invalid: Ship Date Before Order Date", IF(W205&lt;0, "Invalid: Negative Discount", IF(W205&gt;0.5, "Invalid: Exceeds Allowed Discount", "OK")))</f>
        <v>OK</v>
      </c>
    </row>
    <row r="206" spans="1:30">
      <c r="A206" t="s">
        <v>1093</v>
      </c>
      <c r="B206" t="str">
        <f t="shared" si="3"/>
        <v>Unique</v>
      </c>
      <c r="C206" s="3">
        <v>45858</v>
      </c>
      <c r="D206" s="3">
        <v>45861</v>
      </c>
      <c r="E206" t="s">
        <v>1096</v>
      </c>
      <c r="F206" t="s">
        <v>40</v>
      </c>
      <c r="G206" t="s">
        <v>115</v>
      </c>
      <c r="H206" t="s">
        <v>42</v>
      </c>
      <c r="I206" t="s">
        <v>121</v>
      </c>
      <c r="J206" t="s">
        <v>122</v>
      </c>
      <c r="K206" t="s">
        <v>45</v>
      </c>
      <c r="L206" t="s">
        <v>46</v>
      </c>
      <c r="M206" t="s">
        <v>1097</v>
      </c>
      <c r="N206" t="s">
        <v>33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34</v>
      </c>
      <c r="V206" t="s">
        <v>35</v>
      </c>
      <c r="W206">
        <f>IF(ISBLANK(Q206), 0, IFERROR(VALUE(Q206), 0.7))</f>
        <v>0.15</v>
      </c>
      <c r="X206">
        <f>D206 - C206</f>
        <v>3</v>
      </c>
      <c r="Y206">
        <f>O206 * P206 * (1 - W206)</f>
        <v>1624.146</v>
      </c>
      <c r="Z206">
        <f>Y206 - S206</f>
        <v>406.15599999999995</v>
      </c>
      <c r="AA206">
        <f>IFERROR(Z206 / Y206, 0)</f>
        <v>0.25007357712914968</v>
      </c>
      <c r="AB206" t="str">
        <f>TEXT(C206, "mmmm")</f>
        <v>July</v>
      </c>
      <c r="AC206">
        <f>YEAR(C206)</f>
        <v>2025</v>
      </c>
      <c r="AD206" t="str">
        <f>IF(X206&lt;0, "Invalid: Ship Date Before Order Date", IF(W206&lt;0, "Invalid: Negative Discount", IF(W206&gt;0.5, "Invalid: Exceeds Allowed Discount", "OK")))</f>
        <v>OK</v>
      </c>
    </row>
    <row r="207" spans="1:30">
      <c r="A207" t="s">
        <v>1098</v>
      </c>
      <c r="B207" t="str">
        <f t="shared" si="3"/>
        <v>Unique</v>
      </c>
      <c r="C207" s="3">
        <v>45768</v>
      </c>
      <c r="D207" s="3">
        <v>45773</v>
      </c>
      <c r="E207" t="s">
        <v>1101</v>
      </c>
      <c r="F207" t="s">
        <v>72</v>
      </c>
      <c r="G207" t="s">
        <v>26</v>
      </c>
      <c r="H207" t="s">
        <v>73</v>
      </c>
      <c r="I207" t="s">
        <v>74</v>
      </c>
      <c r="J207" t="s">
        <v>75</v>
      </c>
      <c r="K207" t="s">
        <v>30</v>
      </c>
      <c r="L207" t="s">
        <v>109</v>
      </c>
      <c r="M207" t="s">
        <v>1102</v>
      </c>
      <c r="N207" t="s">
        <v>48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34</v>
      </c>
      <c r="V207" t="s">
        <v>35</v>
      </c>
      <c r="W207">
        <f>IF(ISBLANK(Q207), 0, IFERROR(VALUE(Q207), 0.7))</f>
        <v>0.2</v>
      </c>
      <c r="X207">
        <f>D207 - C207</f>
        <v>5</v>
      </c>
      <c r="Y207">
        <f>O207 * P207 * (1 - W207)</f>
        <v>4193.232</v>
      </c>
      <c r="Z207">
        <f>Y207 - S207</f>
        <v>863.24200000000019</v>
      </c>
      <c r="AA207">
        <f>IFERROR(Z207 / Y207, 0)</f>
        <v>0.2058655471483572</v>
      </c>
      <c r="AB207" t="str">
        <f>TEXT(C207, "mmmm")</f>
        <v>April</v>
      </c>
      <c r="AC207">
        <f>YEAR(C207)</f>
        <v>2025</v>
      </c>
      <c r="AD207" t="str">
        <f>IF(X207&lt;0, "Invalid: Ship Date Before Order Date", IF(W207&lt;0, "Invalid: Negative Discount", IF(W207&gt;0.5, "Invalid: Exceeds Allowed Discount", "OK")))</f>
        <v>OK</v>
      </c>
    </row>
    <row r="208" spans="1:30">
      <c r="A208" t="s">
        <v>1103</v>
      </c>
      <c r="B208" t="str">
        <f t="shared" si="3"/>
        <v>Unique</v>
      </c>
      <c r="C208" s="3">
        <v>45795</v>
      </c>
      <c r="D208" s="3">
        <v>45797</v>
      </c>
      <c r="E208" t="s">
        <v>1105</v>
      </c>
      <c r="F208" t="s">
        <v>210</v>
      </c>
      <c r="G208" t="s">
        <v>41</v>
      </c>
      <c r="H208" t="s">
        <v>27</v>
      </c>
      <c r="I208" t="s">
        <v>174</v>
      </c>
      <c r="J208" t="s">
        <v>175</v>
      </c>
      <c r="K208" t="s">
        <v>45</v>
      </c>
      <c r="L208" t="s">
        <v>65</v>
      </c>
      <c r="M208" t="s">
        <v>1106</v>
      </c>
      <c r="N208" t="s">
        <v>56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34</v>
      </c>
      <c r="V208" t="s">
        <v>35</v>
      </c>
      <c r="W208">
        <f>IF(ISBLANK(Q208), 0, IFERROR(VALUE(Q208), 0.7))</f>
        <v>0</v>
      </c>
      <c r="X208">
        <f>D208 - C208</f>
        <v>2</v>
      </c>
      <c r="Y208">
        <f>O208 * P208 * (1 - W208)</f>
        <v>430.26</v>
      </c>
      <c r="Z208">
        <f>Y208 - S208</f>
        <v>143.88</v>
      </c>
      <c r="AA208">
        <f>IFERROR(Z208 / Y208, 0)</f>
        <v>0.33440245432994004</v>
      </c>
      <c r="AB208" t="str">
        <f>TEXT(C208, "mmmm")</f>
        <v>May</v>
      </c>
      <c r="AC208">
        <f>YEAR(C208)</f>
        <v>2025</v>
      </c>
      <c r="AD208" t="str">
        <f>IF(X208&lt;0, "Invalid: Ship Date Before Order Date", IF(W208&lt;0, "Invalid: Negative Discount", IF(W208&gt;0.5, "Invalid: Exceeds Allowed Discount", "OK")))</f>
        <v>OK</v>
      </c>
    </row>
    <row r="209" spans="1:30">
      <c r="A209" t="s">
        <v>1107</v>
      </c>
      <c r="B209" t="str">
        <f t="shared" si="3"/>
        <v>Unique</v>
      </c>
      <c r="C209" s="3">
        <v>45483</v>
      </c>
      <c r="D209" s="3">
        <v>45489</v>
      </c>
      <c r="E209" t="s">
        <v>1110</v>
      </c>
      <c r="F209" t="s">
        <v>162</v>
      </c>
      <c r="G209" t="s">
        <v>115</v>
      </c>
      <c r="H209" t="s">
        <v>73</v>
      </c>
      <c r="I209" t="s">
        <v>249</v>
      </c>
      <c r="J209" t="s">
        <v>250</v>
      </c>
      <c r="K209" t="s">
        <v>45</v>
      </c>
      <c r="L209" t="s">
        <v>204</v>
      </c>
      <c r="M209" t="s">
        <v>1111</v>
      </c>
      <c r="N209" t="s">
        <v>33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34</v>
      </c>
      <c r="V209" t="s">
        <v>35</v>
      </c>
      <c r="W209">
        <f>IF(ISBLANK(Q209), 0, IFERROR(VALUE(Q209), 0.7))</f>
        <v>0.2</v>
      </c>
      <c r="X209">
        <f>D209 - C209</f>
        <v>6</v>
      </c>
      <c r="Y209">
        <f>O209 * P209 * (1 - W209)</f>
        <v>1752.7200000000003</v>
      </c>
      <c r="Z209">
        <f>Y209 - S209</f>
        <v>756.31000000000029</v>
      </c>
      <c r="AA209">
        <f>IFERROR(Z209 / Y209, 0)</f>
        <v>0.43150645853302305</v>
      </c>
      <c r="AB209" t="str">
        <f>TEXT(C209, "mmmm")</f>
        <v>July</v>
      </c>
      <c r="AC209">
        <f>YEAR(C209)</f>
        <v>2024</v>
      </c>
      <c r="AD209" t="str">
        <f>IF(X209&lt;0, "Invalid: Ship Date Before Order Date", IF(W209&lt;0, "Invalid: Negative Discount", IF(W209&gt;0.5, "Invalid: Exceeds Allowed Discount", "OK")))</f>
        <v>OK</v>
      </c>
    </row>
    <row r="210" spans="1:30">
      <c r="A210" t="s">
        <v>1112</v>
      </c>
      <c r="B210" t="str">
        <f t="shared" si="3"/>
        <v>Unique</v>
      </c>
      <c r="C210" s="3">
        <v>45837</v>
      </c>
      <c r="D210" s="3">
        <v>45784</v>
      </c>
      <c r="E210" t="s">
        <v>1115</v>
      </c>
      <c r="F210" t="s">
        <v>210</v>
      </c>
      <c r="G210" t="s">
        <v>26</v>
      </c>
      <c r="H210" t="s">
        <v>27</v>
      </c>
      <c r="I210" t="s">
        <v>154</v>
      </c>
      <c r="J210" t="s">
        <v>155</v>
      </c>
      <c r="K210" t="s">
        <v>45</v>
      </c>
      <c r="L210" t="s">
        <v>76</v>
      </c>
      <c r="M210" t="s">
        <v>1116</v>
      </c>
      <c r="N210" t="s">
        <v>48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34</v>
      </c>
      <c r="V210" t="s">
        <v>35</v>
      </c>
      <c r="W210">
        <f>IF(ISBLANK(Q210), 0, IFERROR(VALUE(Q210), 0.7))</f>
        <v>0</v>
      </c>
      <c r="X210">
        <f>D210 - C210</f>
        <v>-53</v>
      </c>
      <c r="Y210">
        <f>O210 * P210 * (1 - W210)</f>
        <v>999.83</v>
      </c>
      <c r="Z210">
        <f>Y210 - S210</f>
        <v>364.92000000000007</v>
      </c>
      <c r="AA210">
        <f>IFERROR(Z210 / Y210, 0)</f>
        <v>0.3649820469479812</v>
      </c>
      <c r="AB210" t="str">
        <f>TEXT(C210, "mmmm")</f>
        <v>June</v>
      </c>
      <c r="AC210">
        <f>YEAR(C210)</f>
        <v>2025</v>
      </c>
      <c r="AD210" t="str">
        <f>IF(X210&lt;0, "Invalid: Ship Date Before Order Date", IF(W210&lt;0, "Invalid: Negative Discount", IF(W210&gt;0.5, "Invalid: Exceeds Allowed Discount", "OK")))</f>
        <v>Invalid: Ship Date Before Order Date</v>
      </c>
    </row>
    <row r="211" spans="1:30">
      <c r="A211" t="s">
        <v>1117</v>
      </c>
      <c r="B211" t="str">
        <f t="shared" si="3"/>
        <v>Unique</v>
      </c>
      <c r="C211" s="3">
        <v>45882</v>
      </c>
      <c r="D211" s="3">
        <v>45883</v>
      </c>
      <c r="E211" t="s">
        <v>1120</v>
      </c>
      <c r="F211" t="s">
        <v>180</v>
      </c>
      <c r="G211" t="s">
        <v>41</v>
      </c>
      <c r="H211" t="s">
        <v>62</v>
      </c>
      <c r="I211" t="s">
        <v>100</v>
      </c>
      <c r="J211" t="s">
        <v>101</v>
      </c>
      <c r="K211" t="s">
        <v>30</v>
      </c>
      <c r="L211" t="s">
        <v>31</v>
      </c>
      <c r="M211" t="s">
        <v>1121</v>
      </c>
      <c r="N211" t="s">
        <v>56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34</v>
      </c>
      <c r="V211" t="s">
        <v>35</v>
      </c>
      <c r="W211">
        <f>IF(ISBLANK(Q211), 0, IFERROR(VALUE(Q211), 0.7))</f>
        <v>0.1</v>
      </c>
      <c r="X211">
        <f>D211 - C211</f>
        <v>1</v>
      </c>
      <c r="Y211">
        <f>O211 * P211 * (1 - W211)</f>
        <v>7006.3379999999997</v>
      </c>
      <c r="Z211">
        <f>Y211 - S211</f>
        <v>2365.4579999999996</v>
      </c>
      <c r="AA211">
        <f>IFERROR(Z211 / Y211, 0)</f>
        <v>0.33761688345609359</v>
      </c>
      <c r="AB211" t="str">
        <f>TEXT(C211, "mmmm")</f>
        <v>August</v>
      </c>
      <c r="AC211">
        <f>YEAR(C211)</f>
        <v>2025</v>
      </c>
      <c r="AD211" t="str">
        <f>IF(X211&lt;0, "Invalid: Ship Date Before Order Date", IF(W211&lt;0, "Invalid: Negative Discount", IF(W211&gt;0.5, "Invalid: Exceeds Allowed Discount", "OK")))</f>
        <v>OK</v>
      </c>
    </row>
    <row r="212" spans="1:30">
      <c r="A212" t="s">
        <v>1122</v>
      </c>
      <c r="B212" t="str">
        <f t="shared" si="3"/>
        <v>Unique</v>
      </c>
      <c r="C212" s="3">
        <v>45366</v>
      </c>
      <c r="D212" s="3">
        <v>45369</v>
      </c>
      <c r="E212" t="s">
        <v>1125</v>
      </c>
      <c r="F212" t="s">
        <v>366</v>
      </c>
      <c r="G212" t="s">
        <v>115</v>
      </c>
      <c r="H212" t="s">
        <v>62</v>
      </c>
      <c r="I212" t="s">
        <v>229</v>
      </c>
      <c r="J212" t="s">
        <v>230</v>
      </c>
      <c r="K212" t="s">
        <v>86</v>
      </c>
      <c r="L212" t="s">
        <v>382</v>
      </c>
      <c r="M212" t="s">
        <v>1126</v>
      </c>
      <c r="N212" t="s">
        <v>33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200</v>
      </c>
      <c r="V212" t="s">
        <v>125</v>
      </c>
      <c r="W212">
        <f>IF(ISBLANK(Q212), 0, IFERROR(VALUE(Q212), 0.7))</f>
        <v>0</v>
      </c>
      <c r="X212">
        <f>D212 - C212</f>
        <v>3</v>
      </c>
      <c r="Y212">
        <f>O212 * P212 * (1 - W212)</f>
        <v>4131.3599999999997</v>
      </c>
      <c r="Z212">
        <f>Y212 - S212</f>
        <v>1194.2899999999995</v>
      </c>
      <c r="AA212">
        <f>IFERROR(Z212 / Y212, 0)</f>
        <v>0.28907914100925591</v>
      </c>
      <c r="AB212" t="str">
        <f>TEXT(C212, "mmmm")</f>
        <v>March</v>
      </c>
      <c r="AC212">
        <f>YEAR(C212)</f>
        <v>2024</v>
      </c>
      <c r="AD212" t="str">
        <f>IF(X212&lt;0, "Invalid: Ship Date Before Order Date", IF(W212&lt;0, "Invalid: Negative Discount", IF(W212&gt;0.5, "Invalid: Exceeds Allowed Discount", "OK")))</f>
        <v>OK</v>
      </c>
    </row>
    <row r="213" spans="1:30">
      <c r="A213" t="s">
        <v>1127</v>
      </c>
      <c r="B213" t="str">
        <f t="shared" si="3"/>
        <v>Unique</v>
      </c>
      <c r="C213" s="3">
        <v>45428</v>
      </c>
      <c r="D213" s="3">
        <v>45429</v>
      </c>
      <c r="E213" t="s">
        <v>1130</v>
      </c>
      <c r="F213" t="s">
        <v>180</v>
      </c>
      <c r="G213" t="s">
        <v>108</v>
      </c>
      <c r="H213" t="s">
        <v>42</v>
      </c>
      <c r="I213" t="s">
        <v>121</v>
      </c>
      <c r="J213" t="s">
        <v>122</v>
      </c>
      <c r="K213" t="s">
        <v>86</v>
      </c>
      <c r="L213" t="s">
        <v>94</v>
      </c>
      <c r="M213" t="s">
        <v>1132</v>
      </c>
      <c r="N213" t="s">
        <v>33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34</v>
      </c>
      <c r="V213" t="s">
        <v>35</v>
      </c>
      <c r="W213">
        <f>IF(ISBLANK(Q213), 0, IFERROR(VALUE(Q213), 0.7))</f>
        <v>0.2</v>
      </c>
      <c r="X213">
        <f>D213 - C213</f>
        <v>1</v>
      </c>
      <c r="Y213">
        <f>O213 * P213 * (1 - W213)</f>
        <v>27020.48</v>
      </c>
      <c r="Z213">
        <f>Y213 - S213</f>
        <v>4135.239999999998</v>
      </c>
      <c r="AA213">
        <f>IFERROR(Z213 / Y213, 0)</f>
        <v>0.15304095264036752</v>
      </c>
      <c r="AB213" t="str">
        <f>TEXT(C213, "mmmm")</f>
        <v>May</v>
      </c>
      <c r="AC213">
        <f>YEAR(C213)</f>
        <v>2024</v>
      </c>
      <c r="AD213" t="str">
        <f>IF(X213&lt;0, "Invalid: Ship Date Before Order Date", IF(W213&lt;0, "Invalid: Negative Discount", IF(W213&gt;0.5, "Invalid: Exceeds Allowed Discount", "OK")))</f>
        <v>OK</v>
      </c>
    </row>
    <row r="214" spans="1:30">
      <c r="A214" t="s">
        <v>1133</v>
      </c>
      <c r="B214" t="str">
        <f t="shared" si="3"/>
        <v>Unique</v>
      </c>
      <c r="C214" s="3">
        <v>45556</v>
      </c>
      <c r="D214" s="3">
        <v>45556</v>
      </c>
      <c r="E214" t="s">
        <v>1136</v>
      </c>
      <c r="F214" t="s">
        <v>72</v>
      </c>
      <c r="G214" t="s">
        <v>41</v>
      </c>
      <c r="H214" t="s">
        <v>42</v>
      </c>
      <c r="I214" t="s">
        <v>43</v>
      </c>
      <c r="J214" t="s">
        <v>44</v>
      </c>
      <c r="K214" t="s">
        <v>86</v>
      </c>
      <c r="L214" t="s">
        <v>223</v>
      </c>
      <c r="M214" t="s">
        <v>1137</v>
      </c>
      <c r="N214" t="s">
        <v>48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34</v>
      </c>
      <c r="V214" t="s">
        <v>35</v>
      </c>
      <c r="W214">
        <f>IF(ISBLANK(Q214), 0, IFERROR(VALUE(Q214), 0.7))</f>
        <v>0.15</v>
      </c>
      <c r="X214">
        <f>D214 - C214</f>
        <v>0</v>
      </c>
      <c r="Y214">
        <f>O214 * P214 * (1 - W214)</f>
        <v>364.65</v>
      </c>
      <c r="Z214">
        <f>Y214 - S214</f>
        <v>83.909999999999968</v>
      </c>
      <c r="AA214">
        <f>IFERROR(Z214 / Y214, 0)</f>
        <v>0.23011106540518297</v>
      </c>
      <c r="AB214" t="str">
        <f>TEXT(C214, "mmmm")</f>
        <v>September</v>
      </c>
      <c r="AC214">
        <f>YEAR(C214)</f>
        <v>2024</v>
      </c>
      <c r="AD214" t="str">
        <f>IF(X214&lt;0, "Invalid: Ship Date Before Order Date", IF(W214&lt;0, "Invalid: Negative Discount", IF(W214&gt;0.5, "Invalid: Exceeds Allowed Discount", "OK")))</f>
        <v>OK</v>
      </c>
    </row>
    <row r="215" spans="1:30">
      <c r="A215" t="s">
        <v>1138</v>
      </c>
      <c r="B215" t="str">
        <f t="shared" si="3"/>
        <v>Unique</v>
      </c>
      <c r="C215" s="3">
        <v>45427</v>
      </c>
      <c r="D215" s="3">
        <v>45433</v>
      </c>
      <c r="E215" t="s">
        <v>1141</v>
      </c>
      <c r="F215" t="s">
        <v>53</v>
      </c>
      <c r="G215" t="s">
        <v>41</v>
      </c>
      <c r="H215" t="s">
        <v>42</v>
      </c>
      <c r="I215" t="s">
        <v>186</v>
      </c>
      <c r="J215" t="s">
        <v>187</v>
      </c>
      <c r="K215" t="s">
        <v>86</v>
      </c>
      <c r="L215" t="s">
        <v>87</v>
      </c>
      <c r="M215" t="s">
        <v>1142</v>
      </c>
      <c r="N215" t="s">
        <v>33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34</v>
      </c>
      <c r="V215" t="s">
        <v>35</v>
      </c>
      <c r="W215">
        <f>IF(ISBLANK(Q215), 0, IFERROR(VALUE(Q215), 0.7))</f>
        <v>0.2</v>
      </c>
      <c r="X215">
        <f>D215 - C215</f>
        <v>6</v>
      </c>
      <c r="Y215">
        <f>O215 * P215 * (1 - W215)</f>
        <v>13864.735999999999</v>
      </c>
      <c r="Z215">
        <f>Y215 - S215</f>
        <v>2570.6759999999995</v>
      </c>
      <c r="AA215">
        <f>IFERROR(Z215 / Y215, 0)</f>
        <v>0.18541110339208763</v>
      </c>
      <c r="AB215" t="str">
        <f>TEXT(C215, "mmmm")</f>
        <v>May</v>
      </c>
      <c r="AC215">
        <f>YEAR(C215)</f>
        <v>2024</v>
      </c>
      <c r="AD215" t="str">
        <f>IF(X215&lt;0, "Invalid: Ship Date Before Order Date", IF(W215&lt;0, "Invalid: Negative Discount", IF(W215&gt;0.5, "Invalid: Exceeds Allowed Discount", "OK")))</f>
        <v>OK</v>
      </c>
    </row>
    <row r="216" spans="1:30">
      <c r="A216" t="s">
        <v>1143</v>
      </c>
      <c r="B216" t="str">
        <f t="shared" si="3"/>
        <v>Unique</v>
      </c>
      <c r="C216" s="3">
        <v>45368</v>
      </c>
      <c r="D216" s="3">
        <v>45374</v>
      </c>
      <c r="E216" t="s">
        <v>1146</v>
      </c>
      <c r="F216" t="s">
        <v>148</v>
      </c>
      <c r="G216" t="s">
        <v>26</v>
      </c>
      <c r="H216" t="s">
        <v>27</v>
      </c>
      <c r="I216" t="s">
        <v>323</v>
      </c>
      <c r="J216" t="s">
        <v>324</v>
      </c>
      <c r="K216" t="s">
        <v>86</v>
      </c>
      <c r="L216" t="s">
        <v>87</v>
      </c>
      <c r="M216" t="s">
        <v>1147</v>
      </c>
      <c r="N216" t="s">
        <v>56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34</v>
      </c>
      <c r="V216" t="s">
        <v>35</v>
      </c>
      <c r="W216">
        <f>IF(ISBLANK(Q216), 0, IFERROR(VALUE(Q216), 0.7))</f>
        <v>0.05</v>
      </c>
      <c r="X216">
        <f>D216 - C216</f>
        <v>6</v>
      </c>
      <c r="Y216">
        <f>O216 * P216 * (1 - W216)</f>
        <v>707.31299999999999</v>
      </c>
      <c r="Z216">
        <f>Y216 - S216</f>
        <v>138.31299999999999</v>
      </c>
      <c r="AA216">
        <f>IFERROR(Z216 / Y216, 0)</f>
        <v>0.19554709159876885</v>
      </c>
      <c r="AB216" t="str">
        <f>TEXT(C216, "mmmm")</f>
        <v>March</v>
      </c>
      <c r="AC216">
        <f>YEAR(C216)</f>
        <v>2024</v>
      </c>
      <c r="AD216" t="str">
        <f>IF(X216&lt;0, "Invalid: Ship Date Before Order Date", IF(W216&lt;0, "Invalid: Negative Discount", IF(W216&gt;0.5, "Invalid: Exceeds Allowed Discount", "OK")))</f>
        <v>OK</v>
      </c>
    </row>
    <row r="217" spans="1:30">
      <c r="A217" t="s">
        <v>1148</v>
      </c>
      <c r="B217" t="str">
        <f t="shared" si="3"/>
        <v>Unique</v>
      </c>
      <c r="C217" s="3">
        <v>45294</v>
      </c>
      <c r="D217" s="3">
        <v>45355</v>
      </c>
      <c r="E217" t="s">
        <v>1150</v>
      </c>
      <c r="F217" t="s">
        <v>40</v>
      </c>
      <c r="G217" t="s">
        <v>26</v>
      </c>
      <c r="H217" t="s">
        <v>73</v>
      </c>
      <c r="I217" t="s">
        <v>84</v>
      </c>
      <c r="J217" t="s">
        <v>85</v>
      </c>
      <c r="K217" t="s">
        <v>30</v>
      </c>
      <c r="L217" t="s">
        <v>31</v>
      </c>
      <c r="M217" t="s">
        <v>1151</v>
      </c>
      <c r="N217" t="s">
        <v>56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34</v>
      </c>
      <c r="V217" t="s">
        <v>35</v>
      </c>
      <c r="W217">
        <f>IF(ISBLANK(Q217), 0, IFERROR(VALUE(Q217), 0.7))</f>
        <v>0.25</v>
      </c>
      <c r="X217">
        <f>D217 - C217</f>
        <v>61</v>
      </c>
      <c r="Y217">
        <f>O217 * P217 * (1 - W217)</f>
        <v>19214.400000000001</v>
      </c>
      <c r="Z217">
        <f>Y217 - S217</f>
        <v>8298.3900000000012</v>
      </c>
      <c r="AA217">
        <f>IFERROR(Z217 / Y217, 0)</f>
        <v>0.43188389957531853</v>
      </c>
      <c r="AB217" t="str">
        <f>TEXT(C217, "mmmm")</f>
        <v>January</v>
      </c>
      <c r="AC217">
        <f>YEAR(C217)</f>
        <v>2024</v>
      </c>
      <c r="AD217" t="str">
        <f>IF(X217&lt;0, "Invalid: Ship Date Before Order Date", IF(W217&lt;0, "Invalid: Negative Discount", IF(W217&gt;0.5, "Invalid: Exceeds Allowed Discount", "OK")))</f>
        <v>OK</v>
      </c>
    </row>
    <row r="218" spans="1:30">
      <c r="A218" t="s">
        <v>1152</v>
      </c>
      <c r="B218" t="str">
        <f t="shared" si="3"/>
        <v>Unique</v>
      </c>
      <c r="C218" s="3">
        <v>45757</v>
      </c>
      <c r="D218" s="3">
        <v>45762</v>
      </c>
      <c r="E218" t="s">
        <v>1154</v>
      </c>
      <c r="F218" t="s">
        <v>53</v>
      </c>
      <c r="G218" t="s">
        <v>26</v>
      </c>
      <c r="H218" t="s">
        <v>73</v>
      </c>
      <c r="I218" t="s">
        <v>235</v>
      </c>
      <c r="J218" t="s">
        <v>236</v>
      </c>
      <c r="K218" t="s">
        <v>45</v>
      </c>
      <c r="L218" t="s">
        <v>46</v>
      </c>
      <c r="M218" t="s">
        <v>1155</v>
      </c>
      <c r="N218" t="s">
        <v>67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200</v>
      </c>
      <c r="V218" t="s">
        <v>125</v>
      </c>
      <c r="W218">
        <f>IF(ISBLANK(Q218), 0, IFERROR(VALUE(Q218), 0.7))</f>
        <v>0.25</v>
      </c>
      <c r="X218">
        <f>D218 - C218</f>
        <v>5</v>
      </c>
      <c r="Y218">
        <f>O218 * P218 * (1 - W218)</f>
        <v>11039.22</v>
      </c>
      <c r="Z218">
        <f>Y218 - S218</f>
        <v>3396.3099999999995</v>
      </c>
      <c r="AA218">
        <f>IFERROR(Z218 / Y218, 0)</f>
        <v>0.30765851210502188</v>
      </c>
      <c r="AB218" t="str">
        <f>TEXT(C218, "mmmm")</f>
        <v>April</v>
      </c>
      <c r="AC218">
        <f>YEAR(C218)</f>
        <v>2025</v>
      </c>
      <c r="AD218" t="str">
        <f>IF(X218&lt;0, "Invalid: Ship Date Before Order Date", IF(W218&lt;0, "Invalid: Negative Discount", IF(W218&gt;0.5, "Invalid: Exceeds Allowed Discount", "OK")))</f>
        <v>OK</v>
      </c>
    </row>
    <row r="219" spans="1:30">
      <c r="A219" t="s">
        <v>1156</v>
      </c>
      <c r="B219" t="str">
        <f t="shared" si="3"/>
        <v>Unique</v>
      </c>
      <c r="C219" s="3">
        <v>45661</v>
      </c>
      <c r="D219" s="3">
        <v>45755</v>
      </c>
      <c r="E219" t="s">
        <v>1159</v>
      </c>
      <c r="F219" t="s">
        <v>107</v>
      </c>
      <c r="G219" t="s">
        <v>26</v>
      </c>
      <c r="H219" t="s">
        <v>42</v>
      </c>
      <c r="I219" t="s">
        <v>43</v>
      </c>
      <c r="J219" t="s">
        <v>44</v>
      </c>
      <c r="K219" t="s">
        <v>45</v>
      </c>
      <c r="L219" t="s">
        <v>204</v>
      </c>
      <c r="M219" t="s">
        <v>1160</v>
      </c>
      <c r="N219" t="s">
        <v>33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124</v>
      </c>
      <c r="V219" t="s">
        <v>78</v>
      </c>
      <c r="W219">
        <f>IF(ISBLANK(Q219), 0, IFERROR(VALUE(Q219), 0.7))</f>
        <v>0.1</v>
      </c>
      <c r="X219">
        <f>D219 - C219</f>
        <v>94</v>
      </c>
      <c r="Y219">
        <f>O219 * P219 * (1 - W219)</f>
        <v>4595.76</v>
      </c>
      <c r="Z219">
        <f>Y219 - S219</f>
        <v>1198.96</v>
      </c>
      <c r="AA219">
        <f>IFERROR(Z219 / Y219, 0)</f>
        <v>0.26088394520166414</v>
      </c>
      <c r="AB219" t="str">
        <f>TEXT(C219, "mmmm")</f>
        <v>January</v>
      </c>
      <c r="AC219">
        <f>YEAR(C219)</f>
        <v>2025</v>
      </c>
      <c r="AD219" t="str">
        <f>IF(X219&lt;0, "Invalid: Ship Date Before Order Date", IF(W219&lt;0, "Invalid: Negative Discount", IF(W219&gt;0.5, "Invalid: Exceeds Allowed Discount", "OK")))</f>
        <v>OK</v>
      </c>
    </row>
    <row r="220" spans="1:30">
      <c r="A220" t="s">
        <v>1161</v>
      </c>
      <c r="B220" t="str">
        <f t="shared" si="3"/>
        <v>Unique</v>
      </c>
      <c r="C220" s="3">
        <v>45714</v>
      </c>
      <c r="D220" s="3">
        <v>45715</v>
      </c>
      <c r="E220" t="s">
        <v>1164</v>
      </c>
      <c r="F220" t="s">
        <v>142</v>
      </c>
      <c r="G220" t="s">
        <v>108</v>
      </c>
      <c r="H220" t="s">
        <v>73</v>
      </c>
      <c r="I220" t="s">
        <v>235</v>
      </c>
      <c r="J220" t="s">
        <v>236</v>
      </c>
      <c r="K220" t="s">
        <v>45</v>
      </c>
      <c r="L220" t="s">
        <v>204</v>
      </c>
      <c r="M220" t="s">
        <v>1165</v>
      </c>
      <c r="N220" t="s">
        <v>67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34</v>
      </c>
      <c r="V220" t="s">
        <v>35</v>
      </c>
      <c r="W220">
        <f>IF(ISBLANK(Q220), 0, IFERROR(VALUE(Q220), 0.7))</f>
        <v>0</v>
      </c>
      <c r="X220">
        <f>D220 - C220</f>
        <v>1</v>
      </c>
      <c r="Y220">
        <f>O220 * P220 * (1 - W220)</f>
        <v>1291.3999999999999</v>
      </c>
      <c r="Z220">
        <f>Y220 - S220</f>
        <v>534.46999999999991</v>
      </c>
      <c r="AA220">
        <f>IFERROR(Z220 / Y220, 0)</f>
        <v>0.41386866966083319</v>
      </c>
      <c r="AB220" t="str">
        <f>TEXT(C220, "mmmm")</f>
        <v>February</v>
      </c>
      <c r="AC220">
        <f>YEAR(C220)</f>
        <v>2025</v>
      </c>
      <c r="AD220" t="str">
        <f>IF(X220&lt;0, "Invalid: Ship Date Before Order Date", IF(W220&lt;0, "Invalid: Negative Discount", IF(W220&gt;0.5, "Invalid: Exceeds Allowed Discount", "OK")))</f>
        <v>OK</v>
      </c>
    </row>
    <row r="221" spans="1:30">
      <c r="A221" t="s">
        <v>1166</v>
      </c>
      <c r="B221" t="str">
        <f t="shared" si="3"/>
        <v>Unique</v>
      </c>
      <c r="C221" s="3">
        <v>45461</v>
      </c>
      <c r="D221" s="3">
        <v>45462</v>
      </c>
      <c r="E221" t="s">
        <v>1168</v>
      </c>
      <c r="F221" t="s">
        <v>148</v>
      </c>
      <c r="G221" t="s">
        <v>26</v>
      </c>
      <c r="H221" t="s">
        <v>42</v>
      </c>
      <c r="I221" t="s">
        <v>186</v>
      </c>
      <c r="J221" t="s">
        <v>187</v>
      </c>
      <c r="K221" t="s">
        <v>86</v>
      </c>
      <c r="L221" t="s">
        <v>382</v>
      </c>
      <c r="M221" t="s">
        <v>1169</v>
      </c>
      <c r="N221" t="s">
        <v>56</v>
      </c>
      <c r="O221">
        <v>2</v>
      </c>
      <c r="P221">
        <v>121.49</v>
      </c>
      <c r="Q221" t="s">
        <v>1170</v>
      </c>
      <c r="R221">
        <v>242.98</v>
      </c>
      <c r="S221">
        <v>161.41999999999999</v>
      </c>
      <c r="T221">
        <v>81.56</v>
      </c>
      <c r="U221" t="s">
        <v>34</v>
      </c>
      <c r="V221" t="s">
        <v>35</v>
      </c>
      <c r="W221">
        <f>IF(ISBLANK(Q221), 0, IFERROR(VALUE(Q221), 0.7))</f>
        <v>0.85</v>
      </c>
      <c r="X221">
        <f>D221 - C221</f>
        <v>1</v>
      </c>
      <c r="Y221">
        <f>O221 * P221 * (1 - W221)</f>
        <v>36.447000000000003</v>
      </c>
      <c r="Z221">
        <f>Y221 - S221</f>
        <v>-124.97299999999998</v>
      </c>
      <c r="AA221">
        <f>IFERROR(Z221 / Y221, 0)</f>
        <v>-3.4288967541910162</v>
      </c>
      <c r="AB221" t="str">
        <f>TEXT(C221, "mmmm")</f>
        <v>June</v>
      </c>
      <c r="AC221">
        <f>YEAR(C221)</f>
        <v>2024</v>
      </c>
      <c r="AD221" t="str">
        <f>IF(X221&lt;0, "Invalid: Ship Date Before Order Date", IF(W221&lt;0, "Invalid: Negative Discount", IF(W221&gt;0.5, "Invalid: Exceeds Allowed Discount", "OK")))</f>
        <v>Invalid: Exceeds Allowed Discount</v>
      </c>
    </row>
    <row r="222" spans="1:30">
      <c r="A222" t="s">
        <v>1171</v>
      </c>
      <c r="B222" t="str">
        <f t="shared" si="3"/>
        <v>Unique</v>
      </c>
      <c r="C222" s="3">
        <v>45538</v>
      </c>
      <c r="D222" s="3">
        <v>45538</v>
      </c>
      <c r="E222" t="s">
        <v>1173</v>
      </c>
      <c r="F222" t="s">
        <v>168</v>
      </c>
      <c r="G222" t="s">
        <v>26</v>
      </c>
      <c r="H222" t="s">
        <v>62</v>
      </c>
      <c r="I222" t="s">
        <v>242</v>
      </c>
      <c r="J222" t="s">
        <v>243</v>
      </c>
      <c r="K222" t="s">
        <v>30</v>
      </c>
      <c r="L222" t="s">
        <v>156</v>
      </c>
      <c r="M222" t="s">
        <v>1174</v>
      </c>
      <c r="N222" t="s">
        <v>56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124</v>
      </c>
      <c r="V222" t="s">
        <v>78</v>
      </c>
      <c r="W222">
        <f>IF(ISBLANK(Q222), 0, IFERROR(VALUE(Q222), 0.7))</f>
        <v>0.15</v>
      </c>
      <c r="X222">
        <f>D222 - C222</f>
        <v>0</v>
      </c>
      <c r="Y222">
        <f>O222 * P222 * (1 - W222)</f>
        <v>9554.5779999999995</v>
      </c>
      <c r="Z222">
        <f>Y222 - S222</f>
        <v>3486.1079999999993</v>
      </c>
      <c r="AA222">
        <f>IFERROR(Z222 / Y222, 0)</f>
        <v>0.36486258210462036</v>
      </c>
      <c r="AB222" t="str">
        <f>TEXT(C222, "mmmm")</f>
        <v>September</v>
      </c>
      <c r="AC222">
        <f>YEAR(C222)</f>
        <v>2024</v>
      </c>
      <c r="AD222" t="str">
        <f>IF(X222&lt;0, "Invalid: Ship Date Before Order Date", IF(W222&lt;0, "Invalid: Negative Discount", IF(W222&gt;0.5, "Invalid: Exceeds Allowed Discount", "OK")))</f>
        <v>OK</v>
      </c>
    </row>
    <row r="223" spans="1:30">
      <c r="A223" t="s">
        <v>1175</v>
      </c>
      <c r="B223" t="str">
        <f t="shared" si="3"/>
        <v>Unique</v>
      </c>
      <c r="C223" s="3">
        <v>45992</v>
      </c>
      <c r="D223" s="3">
        <v>45672</v>
      </c>
      <c r="E223" t="s">
        <v>1178</v>
      </c>
      <c r="F223" t="s">
        <v>40</v>
      </c>
      <c r="G223" t="s">
        <v>108</v>
      </c>
      <c r="H223" t="s">
        <v>62</v>
      </c>
      <c r="I223" t="s">
        <v>229</v>
      </c>
      <c r="J223" t="s">
        <v>230</v>
      </c>
      <c r="K223" t="s">
        <v>45</v>
      </c>
      <c r="L223" t="s">
        <v>76</v>
      </c>
      <c r="M223" t="s">
        <v>1179</v>
      </c>
      <c r="N223" t="s">
        <v>48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34</v>
      </c>
      <c r="V223" t="s">
        <v>35</v>
      </c>
      <c r="W223">
        <f>IF(ISBLANK(Q223), 0, IFERROR(VALUE(Q223), 0.7))</f>
        <v>0.2</v>
      </c>
      <c r="X223">
        <f>D223 - C223</f>
        <v>-320</v>
      </c>
      <c r="Y223">
        <f>O223 * P223 * (1 - W223)</f>
        <v>4900.8959999999997</v>
      </c>
      <c r="Z223">
        <f>Y223 - S223</f>
        <v>1348.2059999999997</v>
      </c>
      <c r="AA223">
        <f>IFERROR(Z223 / Y223, 0)</f>
        <v>0.27509377877024932</v>
      </c>
      <c r="AB223" t="str">
        <f>TEXT(C223, "mmmm")</f>
        <v>December</v>
      </c>
      <c r="AC223">
        <f>YEAR(C223)</f>
        <v>2025</v>
      </c>
      <c r="AD223" t="str">
        <f>IF(X223&lt;0, "Invalid: Ship Date Before Order Date", IF(W223&lt;0, "Invalid: Negative Discount", IF(W223&gt;0.5, "Invalid: Exceeds Allowed Discount", "OK")))</f>
        <v>Invalid: Ship Date Before Order Date</v>
      </c>
    </row>
    <row r="224" spans="1:30">
      <c r="A224" t="s">
        <v>1180</v>
      </c>
      <c r="B224" t="str">
        <f t="shared" si="3"/>
        <v>Unique</v>
      </c>
      <c r="C224" s="3">
        <v>45776</v>
      </c>
      <c r="D224" s="3">
        <v>45779</v>
      </c>
      <c r="E224" t="s">
        <v>1182</v>
      </c>
      <c r="F224" t="s">
        <v>83</v>
      </c>
      <c r="G224" t="s">
        <v>41</v>
      </c>
      <c r="H224" t="s">
        <v>73</v>
      </c>
      <c r="I224" t="s">
        <v>249</v>
      </c>
      <c r="J224" t="s">
        <v>250</v>
      </c>
      <c r="K224" t="s">
        <v>30</v>
      </c>
      <c r="L224" t="s">
        <v>156</v>
      </c>
      <c r="M224" t="s">
        <v>1183</v>
      </c>
      <c r="N224" t="s">
        <v>56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34</v>
      </c>
      <c r="V224" t="s">
        <v>35</v>
      </c>
      <c r="W224">
        <f>IF(ISBLANK(Q224), 0, IFERROR(VALUE(Q224), 0.7))</f>
        <v>0</v>
      </c>
      <c r="X224">
        <f>D224 - C224</f>
        <v>3</v>
      </c>
      <c r="Y224">
        <f>O224 * P224 * (1 - W224)</f>
        <v>25848.54</v>
      </c>
      <c r="Z224">
        <f>Y224 - S224</f>
        <v>8119.4500000000007</v>
      </c>
      <c r="AA224">
        <f>IFERROR(Z224 / Y224, 0)</f>
        <v>0.31411638723115504</v>
      </c>
      <c r="AB224" t="str">
        <f>TEXT(C224, "mmmm")</f>
        <v>April</v>
      </c>
      <c r="AC224">
        <f>YEAR(C224)</f>
        <v>2025</v>
      </c>
      <c r="AD224" t="str">
        <f>IF(X224&lt;0, "Invalid: Ship Date Before Order Date", IF(W224&lt;0, "Invalid: Negative Discount", IF(W224&gt;0.5, "Invalid: Exceeds Allowed Discount", "OK")))</f>
        <v>OK</v>
      </c>
    </row>
    <row r="225" spans="1:30">
      <c r="A225" t="s">
        <v>1184</v>
      </c>
      <c r="B225" t="str">
        <f t="shared" si="3"/>
        <v>Unique</v>
      </c>
      <c r="C225" s="3">
        <v>45707</v>
      </c>
      <c r="D225" s="3">
        <v>45714</v>
      </c>
      <c r="E225" t="s">
        <v>1187</v>
      </c>
      <c r="F225" t="s">
        <v>40</v>
      </c>
      <c r="G225" t="s">
        <v>108</v>
      </c>
      <c r="H225" t="s">
        <v>73</v>
      </c>
      <c r="I225" t="s">
        <v>74</v>
      </c>
      <c r="J225" t="s">
        <v>75</v>
      </c>
      <c r="K225" t="s">
        <v>45</v>
      </c>
      <c r="L225" t="s">
        <v>65</v>
      </c>
      <c r="M225" t="s">
        <v>1188</v>
      </c>
      <c r="N225" t="s">
        <v>56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137</v>
      </c>
      <c r="V225" t="s">
        <v>125</v>
      </c>
      <c r="W225">
        <f>IF(ISBLANK(Q225), 0, IFERROR(VALUE(Q225), 0.7))</f>
        <v>0.2</v>
      </c>
      <c r="X225">
        <f>D225 - C225</f>
        <v>7</v>
      </c>
      <c r="Y225">
        <f>O225 * P225 * (1 - W225)</f>
        <v>1176.72</v>
      </c>
      <c r="Z225">
        <f>Y225 - S225</f>
        <v>522.39</v>
      </c>
      <c r="AA225">
        <f>IFERROR(Z225 / Y225, 0)</f>
        <v>0.44393738527432181</v>
      </c>
      <c r="AB225" t="str">
        <f>TEXT(C225, "mmmm")</f>
        <v>February</v>
      </c>
      <c r="AC225">
        <f>YEAR(C225)</f>
        <v>2025</v>
      </c>
      <c r="AD225" t="str">
        <f>IF(X225&lt;0, "Invalid: Ship Date Before Order Date", IF(W225&lt;0, "Invalid: Negative Discount", IF(W225&gt;0.5, "Invalid: Exceeds Allowed Discount", "OK")))</f>
        <v>OK</v>
      </c>
    </row>
    <row r="226" spans="1:30">
      <c r="A226" t="s">
        <v>1189</v>
      </c>
      <c r="B226" t="str">
        <f t="shared" si="3"/>
        <v>Review: Duplicate Order ID</v>
      </c>
      <c r="C226" s="3">
        <v>45932</v>
      </c>
      <c r="D226" s="3">
        <v>45938</v>
      </c>
      <c r="E226" t="s">
        <v>1192</v>
      </c>
      <c r="F226" t="s">
        <v>53</v>
      </c>
      <c r="G226" t="s">
        <v>41</v>
      </c>
      <c r="H226" t="s">
        <v>27</v>
      </c>
      <c r="I226" t="s">
        <v>154</v>
      </c>
      <c r="J226" t="s">
        <v>155</v>
      </c>
      <c r="K226" t="s">
        <v>45</v>
      </c>
      <c r="L226" t="s">
        <v>65</v>
      </c>
      <c r="M226" t="s">
        <v>1193</v>
      </c>
      <c r="N226" t="s">
        <v>67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34</v>
      </c>
      <c r="V226" t="s">
        <v>78</v>
      </c>
      <c r="W226">
        <f>IF(ISBLANK(Q226), 0, IFERROR(VALUE(Q226), 0.7))</f>
        <v>0.25</v>
      </c>
      <c r="X226">
        <f>D226 - C226</f>
        <v>6</v>
      </c>
      <c r="Y226">
        <f>O226 * P226 * (1 - W226)</f>
        <v>11833.92</v>
      </c>
      <c r="Z226">
        <f>Y226 - S226</f>
        <v>5151</v>
      </c>
      <c r="AA226">
        <f>IFERROR(Z226 / Y226, 0)</f>
        <v>0.43527419485681834</v>
      </c>
      <c r="AB226" t="str">
        <f>TEXT(C226, "mmmm")</f>
        <v>October</v>
      </c>
      <c r="AC226">
        <f>YEAR(C226)</f>
        <v>2025</v>
      </c>
      <c r="AD226" t="str">
        <f>IF(X226&lt;0, "Invalid: Ship Date Before Order Date", IF(W226&lt;0, "Invalid: Negative Discount", IF(W226&gt;0.5, "Invalid: Exceeds Allowed Discount", "OK")))</f>
        <v>OK</v>
      </c>
    </row>
    <row r="227" spans="1:30">
      <c r="A227" t="s">
        <v>1194</v>
      </c>
      <c r="B227" t="str">
        <f t="shared" si="3"/>
        <v>Unique</v>
      </c>
      <c r="C227" s="3">
        <v>45537</v>
      </c>
      <c r="D227" s="3">
        <v>45545</v>
      </c>
      <c r="E227" t="s">
        <v>1197</v>
      </c>
      <c r="F227" t="s">
        <v>40</v>
      </c>
      <c r="G227" t="s">
        <v>108</v>
      </c>
      <c r="H227" t="s">
        <v>73</v>
      </c>
      <c r="I227" t="s">
        <v>249</v>
      </c>
      <c r="J227" t="s">
        <v>250</v>
      </c>
      <c r="K227" t="s">
        <v>86</v>
      </c>
      <c r="L227" t="s">
        <v>223</v>
      </c>
      <c r="M227" t="s">
        <v>1198</v>
      </c>
      <c r="N227" t="s">
        <v>67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34</v>
      </c>
      <c r="V227" t="s">
        <v>35</v>
      </c>
      <c r="W227">
        <f>IF(ISBLANK(Q227), 0, IFERROR(VALUE(Q227), 0.7))</f>
        <v>0.15</v>
      </c>
      <c r="X227">
        <f>D227 - C227</f>
        <v>8</v>
      </c>
      <c r="Y227">
        <f>O227 * P227 * (1 - W227)</f>
        <v>5265.5969999999998</v>
      </c>
      <c r="Z227">
        <f>Y227 - S227</f>
        <v>972.48700000000008</v>
      </c>
      <c r="AA227">
        <f>IFERROR(Z227 / Y227, 0)</f>
        <v>0.18468694053114967</v>
      </c>
      <c r="AB227" t="str">
        <f>TEXT(C227, "mmmm")</f>
        <v>September</v>
      </c>
      <c r="AC227">
        <f>YEAR(C227)</f>
        <v>2024</v>
      </c>
      <c r="AD227" t="str">
        <f>IF(X227&lt;0, "Invalid: Ship Date Before Order Date", IF(W227&lt;0, "Invalid: Negative Discount", IF(W227&gt;0.5, "Invalid: Exceeds Allowed Discount", "OK")))</f>
        <v>OK</v>
      </c>
    </row>
    <row r="228" spans="1:30">
      <c r="A228" t="s">
        <v>1199</v>
      </c>
      <c r="B228" t="str">
        <f t="shared" si="3"/>
        <v>Unique</v>
      </c>
      <c r="C228" s="3">
        <v>45934</v>
      </c>
      <c r="D228" s="3">
        <v>45762</v>
      </c>
      <c r="E228" t="s">
        <v>1201</v>
      </c>
      <c r="F228" t="s">
        <v>210</v>
      </c>
      <c r="G228" t="s">
        <v>115</v>
      </c>
      <c r="H228" t="s">
        <v>4110</v>
      </c>
      <c r="I228" t="s">
        <v>242</v>
      </c>
      <c r="J228" t="s">
        <v>243</v>
      </c>
      <c r="K228" t="s">
        <v>86</v>
      </c>
      <c r="L228" t="s">
        <v>94</v>
      </c>
      <c r="M228" t="s">
        <v>1202</v>
      </c>
      <c r="N228" t="s">
        <v>48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34</v>
      </c>
      <c r="V228" t="s">
        <v>35</v>
      </c>
      <c r="W228">
        <f>IF(ISBLANK(Q228), 0, IFERROR(VALUE(Q228), 0.7))</f>
        <v>0.1</v>
      </c>
      <c r="X228">
        <f>D228 - C228</f>
        <v>-172</v>
      </c>
      <c r="Y228">
        <f>O228 * P228 * (1 - W228)</f>
        <v>1987.443</v>
      </c>
      <c r="Z228">
        <f>Y228 - S228</f>
        <v>877.21299999999997</v>
      </c>
      <c r="AA228">
        <f>IFERROR(Z228 / Y228, 0)</f>
        <v>0.44137768982556985</v>
      </c>
      <c r="AB228" t="str">
        <f>TEXT(C228, "mmmm")</f>
        <v>October</v>
      </c>
      <c r="AC228">
        <f>YEAR(C228)</f>
        <v>2025</v>
      </c>
      <c r="AD228" t="str">
        <f>IF(X228&lt;0, "Invalid: Ship Date Before Order Date", IF(W228&lt;0, "Invalid: Negative Discount", IF(W228&gt;0.5, "Invalid: Exceeds Allowed Discount", "OK")))</f>
        <v>Invalid: Ship Date Before Order Date</v>
      </c>
    </row>
    <row r="229" spans="1:30">
      <c r="A229" t="s">
        <v>1203</v>
      </c>
      <c r="B229" t="str">
        <f t="shared" si="3"/>
        <v>Unique</v>
      </c>
      <c r="C229" s="3">
        <v>45478</v>
      </c>
      <c r="D229" s="3">
        <v>45485</v>
      </c>
      <c r="E229" t="s">
        <v>1206</v>
      </c>
      <c r="F229" t="s">
        <v>72</v>
      </c>
      <c r="G229" t="s">
        <v>41</v>
      </c>
      <c r="H229" t="s">
        <v>73</v>
      </c>
      <c r="I229" t="s">
        <v>249</v>
      </c>
      <c r="J229" t="s">
        <v>250</v>
      </c>
      <c r="K229" t="s">
        <v>30</v>
      </c>
      <c r="L229" t="s">
        <v>198</v>
      </c>
      <c r="M229" t="s">
        <v>1208</v>
      </c>
      <c r="N229" t="s">
        <v>56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34</v>
      </c>
      <c r="V229" t="s">
        <v>35</v>
      </c>
      <c r="W229">
        <f>IF(ISBLANK(Q229), 0, IFERROR(VALUE(Q229), 0.7))</f>
        <v>0.15</v>
      </c>
      <c r="X229">
        <f>D229 - C229</f>
        <v>7</v>
      </c>
      <c r="Y229">
        <f>O229 * P229 * (1 - W229)</f>
        <v>1473.2625</v>
      </c>
      <c r="Z229">
        <f>Y229 - S229</f>
        <v>573.40250000000003</v>
      </c>
      <c r="AA229">
        <f>IFERROR(Z229 / Y229, 0)</f>
        <v>0.38920592901808065</v>
      </c>
      <c r="AB229" t="str">
        <f>TEXT(C229, "mmmm")</f>
        <v>July</v>
      </c>
      <c r="AC229">
        <f>YEAR(C229)</f>
        <v>2024</v>
      </c>
      <c r="AD229" t="str">
        <f>IF(X229&lt;0, "Invalid: Ship Date Before Order Date", IF(W229&lt;0, "Invalid: Negative Discount", IF(W229&gt;0.5, "Invalid: Exceeds Allowed Discount", "OK")))</f>
        <v>OK</v>
      </c>
    </row>
    <row r="230" spans="1:30">
      <c r="A230" t="s">
        <v>1209</v>
      </c>
      <c r="B230" t="str">
        <f t="shared" si="3"/>
        <v>Unique</v>
      </c>
      <c r="C230" s="3">
        <v>45406</v>
      </c>
      <c r="D230" s="3">
        <v>45410</v>
      </c>
      <c r="E230" t="s">
        <v>1212</v>
      </c>
      <c r="F230" t="s">
        <v>25</v>
      </c>
      <c r="G230" t="s">
        <v>41</v>
      </c>
      <c r="H230" t="s">
        <v>62</v>
      </c>
      <c r="I230" t="s">
        <v>63</v>
      </c>
      <c r="J230" t="s">
        <v>64</v>
      </c>
      <c r="K230" t="s">
        <v>30</v>
      </c>
      <c r="L230" t="s">
        <v>109</v>
      </c>
      <c r="M230" t="s">
        <v>1213</v>
      </c>
      <c r="N230" t="s">
        <v>33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34</v>
      </c>
      <c r="V230" t="s">
        <v>35</v>
      </c>
      <c r="W230">
        <f>IF(ISBLANK(Q230), 0, IFERROR(VALUE(Q230), 0.7))</f>
        <v>0.15</v>
      </c>
      <c r="X230">
        <f>D230 - C230</f>
        <v>4</v>
      </c>
      <c r="Y230">
        <f>O230 * P230 * (1 - W230)</f>
        <v>2715.2145</v>
      </c>
      <c r="Z230">
        <f>Y230 - S230</f>
        <v>1163.6645000000001</v>
      </c>
      <c r="AA230">
        <f>IFERROR(Z230 / Y230, 0)</f>
        <v>0.42857184948003191</v>
      </c>
      <c r="AB230" t="str">
        <f>TEXT(C230, "mmmm")</f>
        <v>April</v>
      </c>
      <c r="AC230">
        <f>YEAR(C230)</f>
        <v>2024</v>
      </c>
      <c r="AD230" t="str">
        <f>IF(X230&lt;0, "Invalid: Ship Date Before Order Date", IF(W230&lt;0, "Invalid: Negative Discount", IF(W230&gt;0.5, "Invalid: Exceeds Allowed Discount", "OK")))</f>
        <v>OK</v>
      </c>
    </row>
    <row r="231" spans="1:30">
      <c r="A231" t="s">
        <v>1214</v>
      </c>
      <c r="B231" t="str">
        <f t="shared" si="3"/>
        <v>Unique</v>
      </c>
      <c r="C231" s="3">
        <v>45836</v>
      </c>
      <c r="D231" s="3">
        <v>45842</v>
      </c>
      <c r="E231" t="s">
        <v>1217</v>
      </c>
      <c r="F231" t="s">
        <v>180</v>
      </c>
      <c r="G231" t="s">
        <v>26</v>
      </c>
      <c r="H231" t="s">
        <v>62</v>
      </c>
      <c r="I231" t="s">
        <v>63</v>
      </c>
      <c r="J231" t="s">
        <v>64</v>
      </c>
      <c r="K231" t="s">
        <v>45</v>
      </c>
      <c r="L231" t="s">
        <v>204</v>
      </c>
      <c r="M231" t="s">
        <v>1218</v>
      </c>
      <c r="N231" t="s">
        <v>56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124</v>
      </c>
      <c r="V231" t="s">
        <v>125</v>
      </c>
      <c r="W231">
        <f>IF(ISBLANK(Q231), 0, IFERROR(VALUE(Q231), 0.7))</f>
        <v>0</v>
      </c>
      <c r="X231">
        <f>D231 - C231</f>
        <v>6</v>
      </c>
      <c r="Y231">
        <f>O231 * P231 * (1 - W231)</f>
        <v>8658.69</v>
      </c>
      <c r="Z231">
        <f>Y231 - S231</f>
        <v>3122.7500000000009</v>
      </c>
      <c r="AA231">
        <f>IFERROR(Z231 / Y231, 0)</f>
        <v>0.36064924370776652</v>
      </c>
      <c r="AB231" t="str">
        <f>TEXT(C231, "mmmm")</f>
        <v>June</v>
      </c>
      <c r="AC231">
        <f>YEAR(C231)</f>
        <v>2025</v>
      </c>
      <c r="AD231" t="str">
        <f>IF(X231&lt;0, "Invalid: Ship Date Before Order Date", IF(W231&lt;0, "Invalid: Negative Discount", IF(W231&gt;0.5, "Invalid: Exceeds Allowed Discount", "OK")))</f>
        <v>OK</v>
      </c>
    </row>
    <row r="232" spans="1:30">
      <c r="A232" t="s">
        <v>1219</v>
      </c>
      <c r="B232" t="str">
        <f t="shared" si="3"/>
        <v>Unique</v>
      </c>
      <c r="C232" s="3">
        <v>45440</v>
      </c>
      <c r="D232" s="3">
        <v>45357</v>
      </c>
      <c r="E232" t="s">
        <v>1221</v>
      </c>
      <c r="F232" t="s">
        <v>93</v>
      </c>
      <c r="G232" t="s">
        <v>41</v>
      </c>
      <c r="H232" t="s">
        <v>27</v>
      </c>
      <c r="I232" t="s">
        <v>28</v>
      </c>
      <c r="J232" t="s">
        <v>29</v>
      </c>
      <c r="K232" t="s">
        <v>30</v>
      </c>
      <c r="L232" t="s">
        <v>31</v>
      </c>
      <c r="M232" t="s">
        <v>1222</v>
      </c>
      <c r="N232" t="s">
        <v>67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34</v>
      </c>
      <c r="V232" t="s">
        <v>35</v>
      </c>
      <c r="W232">
        <f>IF(ISBLANK(Q232), 0, IFERROR(VALUE(Q232), 0.7))</f>
        <v>0.1</v>
      </c>
      <c r="X232">
        <f>D232 - C232</f>
        <v>-83</v>
      </c>
      <c r="Y232">
        <f>O232 * P232 * (1 - W232)</f>
        <v>11090.376</v>
      </c>
      <c r="Z232">
        <f>Y232 - S232</f>
        <v>2249.4259999999995</v>
      </c>
      <c r="AA232">
        <f>IFERROR(Z232 / Y232, 0)</f>
        <v>0.20282684734944958</v>
      </c>
      <c r="AB232" t="str">
        <f>TEXT(C232, "mmmm")</f>
        <v>May</v>
      </c>
      <c r="AC232">
        <f>YEAR(C232)</f>
        <v>2024</v>
      </c>
      <c r="AD232" t="str">
        <f>IF(X232&lt;0, "Invalid: Ship Date Before Order Date", IF(W232&lt;0, "Invalid: Negative Discount", IF(W232&gt;0.5, "Invalid: Exceeds Allowed Discount", "OK")))</f>
        <v>Invalid: Ship Date Before Order Date</v>
      </c>
    </row>
    <row r="233" spans="1:30">
      <c r="A233" t="s">
        <v>1223</v>
      </c>
      <c r="B233" t="str">
        <f t="shared" si="3"/>
        <v>Unique</v>
      </c>
      <c r="C233" s="3">
        <v>45414</v>
      </c>
      <c r="D233" s="3">
        <v>45414</v>
      </c>
      <c r="E233" t="s">
        <v>1226</v>
      </c>
      <c r="F233" t="s">
        <v>72</v>
      </c>
      <c r="G233" t="s">
        <v>108</v>
      </c>
      <c r="H233" t="s">
        <v>27</v>
      </c>
      <c r="I233" t="s">
        <v>28</v>
      </c>
      <c r="J233" t="s">
        <v>29</v>
      </c>
      <c r="K233" t="s">
        <v>30</v>
      </c>
      <c r="L233" t="s">
        <v>109</v>
      </c>
      <c r="M233" t="s">
        <v>1228</v>
      </c>
      <c r="N233" t="s">
        <v>56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124</v>
      </c>
      <c r="V233" t="s">
        <v>78</v>
      </c>
      <c r="W233">
        <f>IF(ISBLANK(Q233), 0, IFERROR(VALUE(Q233), 0.7))</f>
        <v>0.25</v>
      </c>
      <c r="X233">
        <f>D233 - C233</f>
        <v>0</v>
      </c>
      <c r="Y233">
        <f>O233 * P233 * (1 - W233)</f>
        <v>11462.744999999999</v>
      </c>
      <c r="Z233">
        <f>Y233 - S233</f>
        <v>4299.204999999999</v>
      </c>
      <c r="AA233">
        <f>IFERROR(Z233 / Y233, 0)</f>
        <v>0.37505894094302888</v>
      </c>
      <c r="AB233" t="str">
        <f>TEXT(C233, "mmmm")</f>
        <v>May</v>
      </c>
      <c r="AC233">
        <f>YEAR(C233)</f>
        <v>2024</v>
      </c>
      <c r="AD233" t="str">
        <f>IF(X233&lt;0, "Invalid: Ship Date Before Order Date", IF(W233&lt;0, "Invalid: Negative Discount", IF(W233&gt;0.5, "Invalid: Exceeds Allowed Discount", "OK")))</f>
        <v>OK</v>
      </c>
    </row>
    <row r="234" spans="1:30">
      <c r="A234" t="s">
        <v>1229</v>
      </c>
      <c r="B234" t="str">
        <f t="shared" si="3"/>
        <v>Unique</v>
      </c>
      <c r="C234" s="3">
        <v>45812</v>
      </c>
      <c r="D234" s="3">
        <v>45818</v>
      </c>
      <c r="E234" t="s">
        <v>1232</v>
      </c>
      <c r="F234" t="s">
        <v>148</v>
      </c>
      <c r="G234" t="s">
        <v>26</v>
      </c>
      <c r="H234" t="s">
        <v>62</v>
      </c>
      <c r="I234" t="s">
        <v>100</v>
      </c>
      <c r="J234" t="s">
        <v>101</v>
      </c>
      <c r="K234" t="s">
        <v>86</v>
      </c>
      <c r="L234" t="s">
        <v>223</v>
      </c>
      <c r="M234" t="s">
        <v>1233</v>
      </c>
      <c r="N234" t="s">
        <v>67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34</v>
      </c>
      <c r="V234" t="s">
        <v>35</v>
      </c>
      <c r="W234">
        <f>IF(ISBLANK(Q234), 0, IFERROR(VALUE(Q234), 0.7))</f>
        <v>0.25</v>
      </c>
      <c r="X234">
        <f>D234 - C234</f>
        <v>6</v>
      </c>
      <c r="Y234">
        <f>O234 * P234 * (1 - W234)</f>
        <v>670.11</v>
      </c>
      <c r="Z234">
        <f>Y234 - S234</f>
        <v>110.53999999999996</v>
      </c>
      <c r="AA234">
        <f>IFERROR(Z234 / Y234, 0)</f>
        <v>0.16495799197146732</v>
      </c>
      <c r="AB234" t="str">
        <f>TEXT(C234, "mmmm")</f>
        <v>June</v>
      </c>
      <c r="AC234">
        <f>YEAR(C234)</f>
        <v>2025</v>
      </c>
      <c r="AD234" t="str">
        <f>IF(X234&lt;0, "Invalid: Ship Date Before Order Date", IF(W234&lt;0, "Invalid: Negative Discount", IF(W234&gt;0.5, "Invalid: Exceeds Allowed Discount", "OK")))</f>
        <v>OK</v>
      </c>
    </row>
    <row r="235" spans="1:30">
      <c r="A235" t="s">
        <v>1234</v>
      </c>
      <c r="B235" t="str">
        <f t="shared" si="3"/>
        <v>Unique</v>
      </c>
      <c r="C235" s="3">
        <v>45579</v>
      </c>
      <c r="D235" s="3">
        <v>45579</v>
      </c>
      <c r="E235" t="s">
        <v>1237</v>
      </c>
      <c r="F235" t="s">
        <v>83</v>
      </c>
      <c r="G235" t="s">
        <v>108</v>
      </c>
      <c r="H235" t="s">
        <v>62</v>
      </c>
      <c r="I235" t="s">
        <v>229</v>
      </c>
      <c r="J235" t="s">
        <v>230</v>
      </c>
      <c r="K235" t="s">
        <v>45</v>
      </c>
      <c r="L235" t="s">
        <v>204</v>
      </c>
      <c r="M235" t="s">
        <v>1238</v>
      </c>
      <c r="N235" t="s">
        <v>4110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34</v>
      </c>
      <c r="V235" t="s">
        <v>35</v>
      </c>
      <c r="W235">
        <f>IF(ISBLANK(Q235), 0, IFERROR(VALUE(Q235), 0.7))</f>
        <v>0</v>
      </c>
      <c r="X235">
        <f>D235 - C235</f>
        <v>0</v>
      </c>
      <c r="Y235">
        <f>O235 * P235 * (1 - W235)</f>
        <v>31236.720000000001</v>
      </c>
      <c r="Z235">
        <f>Y235 - S235</f>
        <v>4859.0200000000004</v>
      </c>
      <c r="AA235">
        <f>IFERROR(Z235 / Y235, 0)</f>
        <v>0.15555474454424154</v>
      </c>
      <c r="AB235" t="str">
        <f>TEXT(C235, "mmmm")</f>
        <v>October</v>
      </c>
      <c r="AC235">
        <f>YEAR(C235)</f>
        <v>2024</v>
      </c>
      <c r="AD235" t="str">
        <f>IF(X235&lt;0, "Invalid: Ship Date Before Order Date", IF(W235&lt;0, "Invalid: Negative Discount", IF(W235&gt;0.5, "Invalid: Exceeds Allowed Discount", "OK")))</f>
        <v>OK</v>
      </c>
    </row>
    <row r="236" spans="1:30">
      <c r="A236" t="s">
        <v>1239</v>
      </c>
      <c r="B236" t="str">
        <f t="shared" si="3"/>
        <v>Unique</v>
      </c>
      <c r="C236" s="3">
        <v>45537</v>
      </c>
      <c r="D236" s="3">
        <v>45538</v>
      </c>
      <c r="E236" t="s">
        <v>1242</v>
      </c>
      <c r="F236" t="s">
        <v>366</v>
      </c>
      <c r="G236" t="s">
        <v>115</v>
      </c>
      <c r="H236" t="s">
        <v>27</v>
      </c>
      <c r="I236" t="s">
        <v>506</v>
      </c>
      <c r="J236" t="s">
        <v>507</v>
      </c>
      <c r="K236" t="s">
        <v>45</v>
      </c>
      <c r="L236" t="s">
        <v>65</v>
      </c>
      <c r="M236" t="s">
        <v>1243</v>
      </c>
      <c r="N236" t="s">
        <v>56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34</v>
      </c>
      <c r="V236" t="s">
        <v>35</v>
      </c>
      <c r="W236">
        <f>IF(ISBLANK(Q236), 0, IFERROR(VALUE(Q236), 0.7))</f>
        <v>0.1</v>
      </c>
      <c r="X236">
        <f>D236 - C236</f>
        <v>1</v>
      </c>
      <c r="Y236">
        <f>O236 * P236 * (1 - W236)</f>
        <v>10964.241</v>
      </c>
      <c r="Z236">
        <f>Y236 - S236</f>
        <v>1701.7710000000006</v>
      </c>
      <c r="AA236">
        <f>IFERROR(Z236 / Y236, 0)</f>
        <v>0.15521101734265058</v>
      </c>
      <c r="AB236" t="str">
        <f>TEXT(C236, "mmmm")</f>
        <v>September</v>
      </c>
      <c r="AC236">
        <f>YEAR(C236)</f>
        <v>2024</v>
      </c>
      <c r="AD236" t="str">
        <f>IF(X236&lt;0, "Invalid: Ship Date Before Order Date", IF(W236&lt;0, "Invalid: Negative Discount", IF(W236&gt;0.5, "Invalid: Exceeds Allowed Discount", "OK")))</f>
        <v>OK</v>
      </c>
    </row>
    <row r="237" spans="1:30">
      <c r="A237" t="s">
        <v>1244</v>
      </c>
      <c r="B237" t="str">
        <f t="shared" si="3"/>
        <v>Unique</v>
      </c>
      <c r="C237" s="3">
        <v>45598</v>
      </c>
      <c r="D237" s="3">
        <v>45599</v>
      </c>
      <c r="E237" t="s">
        <v>1247</v>
      </c>
      <c r="F237" t="s">
        <v>148</v>
      </c>
      <c r="G237" t="s">
        <v>41</v>
      </c>
      <c r="H237" t="s">
        <v>73</v>
      </c>
      <c r="I237" t="s">
        <v>28</v>
      </c>
      <c r="J237" t="s">
        <v>135</v>
      </c>
      <c r="K237" t="s">
        <v>30</v>
      </c>
      <c r="L237" t="s">
        <v>156</v>
      </c>
      <c r="M237" t="s">
        <v>1248</v>
      </c>
      <c r="N237" t="s">
        <v>67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34</v>
      </c>
      <c r="V237" t="s">
        <v>35</v>
      </c>
      <c r="W237">
        <f>IF(ISBLANK(Q237), 0, IFERROR(VALUE(Q237), 0.7))</f>
        <v>0.05</v>
      </c>
      <c r="X237">
        <f>D237 - C237</f>
        <v>1</v>
      </c>
      <c r="Y237">
        <f>O237 * P237 * (1 - W237)</f>
        <v>15226.352999999999</v>
      </c>
      <c r="Z237">
        <f>Y237 - S237</f>
        <v>4081.0729999999985</v>
      </c>
      <c r="AA237">
        <f>IFERROR(Z237 / Y237, 0)</f>
        <v>0.26802695300706603</v>
      </c>
      <c r="AB237" t="str">
        <f>TEXT(C237, "mmmm")</f>
        <v>November</v>
      </c>
      <c r="AC237">
        <f>YEAR(C237)</f>
        <v>2024</v>
      </c>
      <c r="AD237" t="str">
        <f>IF(X237&lt;0, "Invalid: Ship Date Before Order Date", IF(W237&lt;0, "Invalid: Negative Discount", IF(W237&gt;0.5, "Invalid: Exceeds Allowed Discount", "OK")))</f>
        <v>OK</v>
      </c>
    </row>
    <row r="238" spans="1:30">
      <c r="A238" t="s">
        <v>1249</v>
      </c>
      <c r="B238" t="str">
        <f t="shared" si="3"/>
        <v>Unique</v>
      </c>
      <c r="C238" s="3">
        <v>45579</v>
      </c>
      <c r="D238" s="3">
        <v>45586</v>
      </c>
      <c r="E238" t="s">
        <v>1251</v>
      </c>
      <c r="F238" t="s">
        <v>142</v>
      </c>
      <c r="G238" t="s">
        <v>108</v>
      </c>
      <c r="H238" t="s">
        <v>27</v>
      </c>
      <c r="I238" t="s">
        <v>174</v>
      </c>
      <c r="J238" t="s">
        <v>175</v>
      </c>
      <c r="K238" t="s">
        <v>45</v>
      </c>
      <c r="L238" t="s">
        <v>204</v>
      </c>
      <c r="M238" t="s">
        <v>1252</v>
      </c>
      <c r="N238" t="s">
        <v>56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34</v>
      </c>
      <c r="V238" t="s">
        <v>35</v>
      </c>
      <c r="W238">
        <f>IF(ISBLANK(Q238), 0, IFERROR(VALUE(Q238), 0.7))</f>
        <v>0</v>
      </c>
      <c r="X238">
        <f>D238 - C238</f>
        <v>7</v>
      </c>
      <c r="Y238">
        <f>O238 * P238 * (1 - W238)</f>
        <v>24376.68</v>
      </c>
      <c r="Z238">
        <f>Y238 - S238</f>
        <v>5843.2900000000009</v>
      </c>
      <c r="AA238">
        <f>IFERROR(Z238 / Y238, 0)</f>
        <v>0.23970819652224998</v>
      </c>
      <c r="AB238" t="str">
        <f>TEXT(C238, "mmmm")</f>
        <v>October</v>
      </c>
      <c r="AC238">
        <f>YEAR(C238)</f>
        <v>2024</v>
      </c>
      <c r="AD238" t="str">
        <f>IF(X238&lt;0, "Invalid: Ship Date Before Order Date", IF(W238&lt;0, "Invalid: Negative Discount", IF(W238&gt;0.5, "Invalid: Exceeds Allowed Discount", "OK")))</f>
        <v>OK</v>
      </c>
    </row>
    <row r="239" spans="1:30">
      <c r="A239" t="s">
        <v>1253</v>
      </c>
      <c r="B239" t="str">
        <f t="shared" si="3"/>
        <v>Unique</v>
      </c>
      <c r="C239" s="3">
        <v>45531</v>
      </c>
      <c r="D239" s="3">
        <v>45531</v>
      </c>
      <c r="E239" t="s">
        <v>1255</v>
      </c>
      <c r="F239" t="s">
        <v>40</v>
      </c>
      <c r="G239" t="s">
        <v>26</v>
      </c>
      <c r="H239" t="s">
        <v>27</v>
      </c>
      <c r="I239" t="s">
        <v>323</v>
      </c>
      <c r="J239" t="s">
        <v>324</v>
      </c>
      <c r="K239" t="s">
        <v>86</v>
      </c>
      <c r="L239" t="s">
        <v>94</v>
      </c>
      <c r="M239" t="s">
        <v>1256</v>
      </c>
      <c r="N239" t="s">
        <v>67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34</v>
      </c>
      <c r="V239" t="s">
        <v>35</v>
      </c>
      <c r="W239">
        <f>IF(ISBLANK(Q239), 0, IFERROR(VALUE(Q239), 0.7))</f>
        <v>0</v>
      </c>
      <c r="X239">
        <f>D239 - C239</f>
        <v>0</v>
      </c>
      <c r="Y239">
        <f>O239 * P239 * (1 - W239)</f>
        <v>20972.7</v>
      </c>
      <c r="Z239">
        <f>Y239 - S239</f>
        <v>7467.8200000000015</v>
      </c>
      <c r="AA239">
        <f>IFERROR(Z239 / Y239, 0)</f>
        <v>0.35607337157352181</v>
      </c>
      <c r="AB239" t="str">
        <f>TEXT(C239, "mmmm")</f>
        <v>August</v>
      </c>
      <c r="AC239">
        <f>YEAR(C239)</f>
        <v>2024</v>
      </c>
      <c r="AD239" t="str">
        <f>IF(X239&lt;0, "Invalid: Ship Date Before Order Date", IF(W239&lt;0, "Invalid: Negative Discount", IF(W239&gt;0.5, "Invalid: Exceeds Allowed Discount", "OK")))</f>
        <v>OK</v>
      </c>
    </row>
    <row r="240" spans="1:30">
      <c r="A240" t="s">
        <v>1257</v>
      </c>
      <c r="B240" t="str">
        <f t="shared" si="3"/>
        <v>Unique</v>
      </c>
      <c r="C240" s="3">
        <v>45303</v>
      </c>
      <c r="D240" s="3">
        <v>45308</v>
      </c>
      <c r="E240" t="s">
        <v>1260</v>
      </c>
      <c r="F240" t="s">
        <v>61</v>
      </c>
      <c r="G240" t="s">
        <v>26</v>
      </c>
      <c r="H240" t="s">
        <v>62</v>
      </c>
      <c r="I240" t="s">
        <v>100</v>
      </c>
      <c r="J240" t="s">
        <v>101</v>
      </c>
      <c r="K240" t="s">
        <v>30</v>
      </c>
      <c r="L240" t="s">
        <v>156</v>
      </c>
      <c r="M240" t="s">
        <v>1261</v>
      </c>
      <c r="N240" t="s">
        <v>56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34</v>
      </c>
      <c r="V240" t="s">
        <v>35</v>
      </c>
      <c r="W240">
        <f>IF(ISBLANK(Q240), 0, IFERROR(VALUE(Q240), 0.7))</f>
        <v>0.55000000000000004</v>
      </c>
      <c r="X240">
        <f>D240 - C240</f>
        <v>5</v>
      </c>
      <c r="Y240">
        <f>O240 * P240 * (1 - W240)</f>
        <v>12615.907499999999</v>
      </c>
      <c r="Z240">
        <f>Y240 - S240</f>
        <v>-6222.8425000000007</v>
      </c>
      <c r="AA240">
        <f>IFERROR(Z240 / Y240, 0)</f>
        <v>-0.4932536561480021</v>
      </c>
      <c r="AB240" t="str">
        <f>TEXT(C240, "mmmm")</f>
        <v>January</v>
      </c>
      <c r="AC240">
        <f>YEAR(C240)</f>
        <v>2024</v>
      </c>
      <c r="AD240" t="str">
        <f>IF(X240&lt;0, "Invalid: Ship Date Before Order Date", IF(W240&lt;0, "Invalid: Negative Discount", IF(W240&gt;0.5, "Invalid: Exceeds Allowed Discount", "OK")))</f>
        <v>Invalid: Exceeds Allowed Discount</v>
      </c>
    </row>
    <row r="241" spans="1:30">
      <c r="A241" t="s">
        <v>1262</v>
      </c>
      <c r="B241" t="str">
        <f t="shared" si="3"/>
        <v>Unique</v>
      </c>
      <c r="C241" s="3">
        <v>45556</v>
      </c>
      <c r="D241" s="3">
        <v>45556</v>
      </c>
      <c r="E241" t="s">
        <v>1264</v>
      </c>
      <c r="F241" t="s">
        <v>366</v>
      </c>
      <c r="G241" t="s">
        <v>108</v>
      </c>
      <c r="H241" t="s">
        <v>62</v>
      </c>
      <c r="I241" t="s">
        <v>229</v>
      </c>
      <c r="J241" t="s">
        <v>230</v>
      </c>
      <c r="K241" t="s">
        <v>86</v>
      </c>
      <c r="L241" t="s">
        <v>382</v>
      </c>
      <c r="M241" t="s">
        <v>1265</v>
      </c>
      <c r="N241" t="s">
        <v>56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34</v>
      </c>
      <c r="V241" t="s">
        <v>35</v>
      </c>
      <c r="W241">
        <f>IF(ISBLANK(Q241), 0, IFERROR(VALUE(Q241), 0.7))</f>
        <v>0.2</v>
      </c>
      <c r="X241">
        <f>D241 - C241</f>
        <v>0</v>
      </c>
      <c r="Y241">
        <f>O241 * P241 * (1 - W241)</f>
        <v>3136.096</v>
      </c>
      <c r="Z241">
        <f>Y241 - S241</f>
        <v>856.60600000000022</v>
      </c>
      <c r="AA241">
        <f>IFERROR(Z241 / Y241, 0)</f>
        <v>0.273144061916472</v>
      </c>
      <c r="AB241" t="str">
        <f>TEXT(C241, "mmmm")</f>
        <v>September</v>
      </c>
      <c r="AC241">
        <f>YEAR(C241)</f>
        <v>2024</v>
      </c>
      <c r="AD241" t="str">
        <f>IF(X241&lt;0, "Invalid: Ship Date Before Order Date", IF(W241&lt;0, "Invalid: Negative Discount", IF(W241&gt;0.5, "Invalid: Exceeds Allowed Discount", "OK")))</f>
        <v>OK</v>
      </c>
    </row>
    <row r="242" spans="1:30">
      <c r="A242" t="s">
        <v>1266</v>
      </c>
      <c r="B242" t="str">
        <f t="shared" si="3"/>
        <v>Unique</v>
      </c>
      <c r="C242" s="3">
        <v>45643</v>
      </c>
      <c r="D242" s="3">
        <v>45649</v>
      </c>
      <c r="E242" t="s">
        <v>1268</v>
      </c>
      <c r="F242" t="s">
        <v>162</v>
      </c>
      <c r="G242" t="s">
        <v>108</v>
      </c>
      <c r="H242" t="s">
        <v>62</v>
      </c>
      <c r="I242" t="s">
        <v>63</v>
      </c>
      <c r="J242" t="s">
        <v>64</v>
      </c>
      <c r="K242" t="s">
        <v>30</v>
      </c>
      <c r="L242" t="s">
        <v>198</v>
      </c>
      <c r="M242" t="s">
        <v>1269</v>
      </c>
      <c r="N242" t="s">
        <v>56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34</v>
      </c>
      <c r="V242" t="s">
        <v>35</v>
      </c>
      <c r="W242">
        <f>IF(ISBLANK(Q242), 0, IFERROR(VALUE(Q242), 0.7))</f>
        <v>0</v>
      </c>
      <c r="X242">
        <f>D242 - C242</f>
        <v>6</v>
      </c>
      <c r="Y242">
        <f>O242 * P242 * (1 - W242)</f>
        <v>20835.899999999998</v>
      </c>
      <c r="Z242">
        <f>Y242 - S242</f>
        <v>6907.7099999999973</v>
      </c>
      <c r="AA242">
        <f>IFERROR(Z242 / Y242, 0)</f>
        <v>0.33152923559817421</v>
      </c>
      <c r="AB242" t="str">
        <f>TEXT(C242, "mmmm")</f>
        <v>December</v>
      </c>
      <c r="AC242">
        <f>YEAR(C242)</f>
        <v>2024</v>
      </c>
      <c r="AD242" t="str">
        <f>IF(X242&lt;0, "Invalid: Ship Date Before Order Date", IF(W242&lt;0, "Invalid: Negative Discount", IF(W242&gt;0.5, "Invalid: Exceeds Allowed Discount", "OK")))</f>
        <v>OK</v>
      </c>
    </row>
    <row r="243" spans="1:30">
      <c r="A243" t="s">
        <v>1270</v>
      </c>
      <c r="B243" t="str">
        <f t="shared" si="3"/>
        <v>Unique</v>
      </c>
      <c r="C243" s="3">
        <v>45844</v>
      </c>
      <c r="D243" s="3">
        <v>45815</v>
      </c>
      <c r="E243" t="s">
        <v>1273</v>
      </c>
      <c r="F243" t="s">
        <v>168</v>
      </c>
      <c r="G243" t="s">
        <v>108</v>
      </c>
      <c r="H243" t="s">
        <v>27</v>
      </c>
      <c r="I243" t="s">
        <v>323</v>
      </c>
      <c r="J243" t="s">
        <v>324</v>
      </c>
      <c r="K243" t="s">
        <v>30</v>
      </c>
      <c r="L243" t="s">
        <v>156</v>
      </c>
      <c r="M243" t="s">
        <v>1274</v>
      </c>
      <c r="N243" t="s">
        <v>67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137</v>
      </c>
      <c r="V243" t="s">
        <v>125</v>
      </c>
      <c r="W243">
        <f>IF(ISBLANK(Q243), 0, IFERROR(VALUE(Q243), 0.7))</f>
        <v>0.25</v>
      </c>
      <c r="X243">
        <f>D243 - C243</f>
        <v>-29</v>
      </c>
      <c r="Y243">
        <f>O243 * P243 * (1 - W243)</f>
        <v>1212.9000000000001</v>
      </c>
      <c r="Z243">
        <f>Y243 - S243</f>
        <v>522.38000000000011</v>
      </c>
      <c r="AA243">
        <f>IFERROR(Z243 / Y243, 0)</f>
        <v>0.4306867837414462</v>
      </c>
      <c r="AB243" t="str">
        <f>TEXT(C243, "mmmm")</f>
        <v>July</v>
      </c>
      <c r="AC243">
        <f>YEAR(C243)</f>
        <v>2025</v>
      </c>
      <c r="AD243" t="str">
        <f>IF(X243&lt;0, "Invalid: Ship Date Before Order Date", IF(W243&lt;0, "Invalid: Negative Discount", IF(W243&gt;0.5, "Invalid: Exceeds Allowed Discount", "OK")))</f>
        <v>Invalid: Ship Date Before Order Date</v>
      </c>
    </row>
    <row r="244" spans="1:30">
      <c r="A244" t="s">
        <v>1275</v>
      </c>
      <c r="B244" t="str">
        <f t="shared" si="3"/>
        <v>Unique</v>
      </c>
      <c r="C244" s="3">
        <v>45695</v>
      </c>
      <c r="D244" s="3">
        <v>45695</v>
      </c>
      <c r="E244" t="s">
        <v>1278</v>
      </c>
      <c r="F244" t="s">
        <v>61</v>
      </c>
      <c r="G244" t="s">
        <v>26</v>
      </c>
      <c r="H244" t="s">
        <v>27</v>
      </c>
      <c r="I244" t="s">
        <v>174</v>
      </c>
      <c r="J244" t="s">
        <v>175</v>
      </c>
      <c r="K244" t="s">
        <v>30</v>
      </c>
      <c r="L244" t="s">
        <v>54</v>
      </c>
      <c r="M244" t="s">
        <v>1279</v>
      </c>
      <c r="N244" t="s">
        <v>33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34</v>
      </c>
      <c r="V244" t="s">
        <v>35</v>
      </c>
      <c r="W244">
        <f>IF(ISBLANK(Q244), 0, IFERROR(VALUE(Q244), 0.7))</f>
        <v>0.05</v>
      </c>
      <c r="X244">
        <f>D244 - C244</f>
        <v>0</v>
      </c>
      <c r="Y244">
        <f>O244 * P244 * (1 - W244)</f>
        <v>5697.8339999999998</v>
      </c>
      <c r="Z244">
        <f>Y244 - S244</f>
        <v>1446.3339999999998</v>
      </c>
      <c r="AA244">
        <f>IFERROR(Z244 / Y244, 0)</f>
        <v>0.25383926593860051</v>
      </c>
      <c r="AB244" t="str">
        <f>TEXT(C244, "mmmm")</f>
        <v>February</v>
      </c>
      <c r="AC244">
        <f>YEAR(C244)</f>
        <v>2025</v>
      </c>
      <c r="AD244" t="str">
        <f>IF(X244&lt;0, "Invalid: Ship Date Before Order Date", IF(W244&lt;0, "Invalid: Negative Discount", IF(W244&gt;0.5, "Invalid: Exceeds Allowed Discount", "OK")))</f>
        <v>OK</v>
      </c>
    </row>
    <row r="245" spans="1:30">
      <c r="A245" t="s">
        <v>1280</v>
      </c>
      <c r="B245" t="str">
        <f t="shared" si="3"/>
        <v>Unique</v>
      </c>
      <c r="C245" s="3">
        <v>45867</v>
      </c>
      <c r="D245" s="3">
        <v>45871</v>
      </c>
      <c r="E245" t="s">
        <v>1282</v>
      </c>
      <c r="F245" t="s">
        <v>168</v>
      </c>
      <c r="G245" t="s">
        <v>41</v>
      </c>
      <c r="H245" t="s">
        <v>4110</v>
      </c>
      <c r="I245" t="s">
        <v>84</v>
      </c>
      <c r="J245" t="s">
        <v>85</v>
      </c>
      <c r="K245" t="s">
        <v>86</v>
      </c>
      <c r="L245" t="s">
        <v>87</v>
      </c>
      <c r="M245" t="s">
        <v>1283</v>
      </c>
      <c r="N245" t="s">
        <v>56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34</v>
      </c>
      <c r="V245" t="s">
        <v>35</v>
      </c>
      <c r="W245">
        <f>IF(ISBLANK(Q245), 0, IFERROR(VALUE(Q245), 0.7))</f>
        <v>0.1</v>
      </c>
      <c r="X245">
        <f>D245 - C245</f>
        <v>4</v>
      </c>
      <c r="Y245">
        <f>O245 * P245 * (1 - W245)</f>
        <v>4049.5140000000001</v>
      </c>
      <c r="Z245">
        <f>Y245 - S245</f>
        <v>1540.3140000000003</v>
      </c>
      <c r="AA245">
        <f>IFERROR(Z245 / Y245, 0)</f>
        <v>0.38037008885510715</v>
      </c>
      <c r="AB245" t="str">
        <f>TEXT(C245, "mmmm")</f>
        <v>July</v>
      </c>
      <c r="AC245">
        <f>YEAR(C245)</f>
        <v>2025</v>
      </c>
      <c r="AD245" t="str">
        <f>IF(X245&lt;0, "Invalid: Ship Date Before Order Date", IF(W245&lt;0, "Invalid: Negative Discount", IF(W245&gt;0.5, "Invalid: Exceeds Allowed Discount", "OK")))</f>
        <v>OK</v>
      </c>
    </row>
    <row r="246" spans="1:30">
      <c r="A246" t="s">
        <v>1284</v>
      </c>
      <c r="B246" t="str">
        <f t="shared" si="3"/>
        <v>Unique</v>
      </c>
      <c r="C246" s="3">
        <v>45527</v>
      </c>
      <c r="D246" s="3">
        <v>45528</v>
      </c>
      <c r="E246" t="s">
        <v>1286</v>
      </c>
      <c r="F246" t="s">
        <v>93</v>
      </c>
      <c r="G246" t="s">
        <v>26</v>
      </c>
      <c r="H246" t="s">
        <v>62</v>
      </c>
      <c r="I246" t="s">
        <v>63</v>
      </c>
      <c r="J246" t="s">
        <v>64</v>
      </c>
      <c r="K246" t="s">
        <v>45</v>
      </c>
      <c r="L246" t="s">
        <v>204</v>
      </c>
      <c r="M246" t="s">
        <v>1287</v>
      </c>
      <c r="N246" t="s">
        <v>48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34</v>
      </c>
      <c r="V246" t="s">
        <v>35</v>
      </c>
      <c r="W246">
        <f>IF(ISBLANK(Q246), 0, IFERROR(VALUE(Q246), 0.7))</f>
        <v>0</v>
      </c>
      <c r="X246">
        <f>D246 - C246</f>
        <v>1</v>
      </c>
      <c r="Y246">
        <f>O246 * P246 * (1 - W246)</f>
        <v>6131.34</v>
      </c>
      <c r="Z246">
        <f>Y246 - S246</f>
        <v>2070.46</v>
      </c>
      <c r="AA246">
        <f>IFERROR(Z246 / Y246, 0)</f>
        <v>0.33768474754295147</v>
      </c>
      <c r="AB246" t="str">
        <f>TEXT(C246, "mmmm")</f>
        <v>August</v>
      </c>
      <c r="AC246">
        <f>YEAR(C246)</f>
        <v>2024</v>
      </c>
      <c r="AD246" t="str">
        <f>IF(X246&lt;0, "Invalid: Ship Date Before Order Date", IF(W246&lt;0, "Invalid: Negative Discount", IF(W246&gt;0.5, "Invalid: Exceeds Allowed Discount", "OK")))</f>
        <v>OK</v>
      </c>
    </row>
    <row r="247" spans="1:30">
      <c r="A247" t="s">
        <v>1288</v>
      </c>
      <c r="B247" t="str">
        <f t="shared" si="3"/>
        <v>Unique</v>
      </c>
      <c r="C247" s="3">
        <v>45583</v>
      </c>
      <c r="D247" s="3">
        <v>45589</v>
      </c>
      <c r="E247" t="s">
        <v>1289</v>
      </c>
      <c r="F247" t="s">
        <v>93</v>
      </c>
      <c r="G247" t="s">
        <v>115</v>
      </c>
      <c r="H247" t="s">
        <v>62</v>
      </c>
      <c r="I247" t="s">
        <v>242</v>
      </c>
      <c r="J247" t="s">
        <v>243</v>
      </c>
      <c r="K247" t="s">
        <v>45</v>
      </c>
      <c r="L247" t="s">
        <v>76</v>
      </c>
      <c r="M247" t="s">
        <v>1291</v>
      </c>
      <c r="N247" t="s">
        <v>33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34</v>
      </c>
      <c r="V247" t="s">
        <v>35</v>
      </c>
      <c r="W247">
        <f>IF(ISBLANK(Q247), 0, IFERROR(VALUE(Q247), 0.7))</f>
        <v>0</v>
      </c>
      <c r="X247">
        <f>D247 - C247</f>
        <v>6</v>
      </c>
      <c r="Y247">
        <f>O247 * P247 * (1 - W247)</f>
        <v>9827.7899999999991</v>
      </c>
      <c r="Z247">
        <f>Y247 - S247</f>
        <v>4349.5099999999993</v>
      </c>
      <c r="AA247">
        <f>IFERROR(Z247 / Y247, 0)</f>
        <v>0.44257254174132737</v>
      </c>
      <c r="AB247" t="str">
        <f>TEXT(C247, "mmmm")</f>
        <v>October</v>
      </c>
      <c r="AC247">
        <f>YEAR(C247)</f>
        <v>2024</v>
      </c>
      <c r="AD247" t="str">
        <f>IF(X247&lt;0, "Invalid: Ship Date Before Order Date", IF(W247&lt;0, "Invalid: Negative Discount", IF(W247&gt;0.5, "Invalid: Exceeds Allowed Discount", "OK")))</f>
        <v>OK</v>
      </c>
    </row>
    <row r="248" spans="1:30">
      <c r="A248" t="s">
        <v>1292</v>
      </c>
      <c r="B248" t="str">
        <f t="shared" si="3"/>
        <v>Unique</v>
      </c>
      <c r="C248" s="3">
        <v>45416</v>
      </c>
      <c r="D248" s="3">
        <v>45421</v>
      </c>
      <c r="E248" t="s">
        <v>1295</v>
      </c>
      <c r="F248" t="s">
        <v>72</v>
      </c>
      <c r="G248" t="s">
        <v>108</v>
      </c>
      <c r="H248" t="s">
        <v>27</v>
      </c>
      <c r="I248" t="s">
        <v>154</v>
      </c>
      <c r="J248" t="s">
        <v>155</v>
      </c>
      <c r="K248" t="s">
        <v>86</v>
      </c>
      <c r="L248" t="s">
        <v>382</v>
      </c>
      <c r="M248" t="s">
        <v>1296</v>
      </c>
      <c r="N248" t="s">
        <v>48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124</v>
      </c>
      <c r="V248" t="s">
        <v>78</v>
      </c>
      <c r="W248">
        <f>IF(ISBLANK(Q248), 0, IFERROR(VALUE(Q248), 0.7))</f>
        <v>0.25</v>
      </c>
      <c r="X248">
        <f>D248 - C248</f>
        <v>5</v>
      </c>
      <c r="Y248">
        <f>O248 * P248 * (1 - W248)</f>
        <v>521.88749999999993</v>
      </c>
      <c r="Z248">
        <f>Y248 - S248</f>
        <v>77.36749999999995</v>
      </c>
      <c r="AA248">
        <f>IFERROR(Z248 / Y248, 0)</f>
        <v>0.14824555100476627</v>
      </c>
      <c r="AB248" t="str">
        <f>TEXT(C248, "mmmm")</f>
        <v>May</v>
      </c>
      <c r="AC248">
        <f>YEAR(C248)</f>
        <v>2024</v>
      </c>
      <c r="AD248" t="str">
        <f>IF(X248&lt;0, "Invalid: Ship Date Before Order Date", IF(W248&lt;0, "Invalid: Negative Discount", IF(W248&gt;0.5, "Invalid: Exceeds Allowed Discount", "OK")))</f>
        <v>OK</v>
      </c>
    </row>
    <row r="249" spans="1:30">
      <c r="A249" t="s">
        <v>1297</v>
      </c>
      <c r="B249" t="str">
        <f t="shared" si="3"/>
        <v>Unique</v>
      </c>
      <c r="C249" s="3">
        <v>45498</v>
      </c>
      <c r="D249" s="3">
        <v>45505</v>
      </c>
      <c r="E249" t="s">
        <v>1300</v>
      </c>
      <c r="F249" t="s">
        <v>148</v>
      </c>
      <c r="G249" t="s">
        <v>108</v>
      </c>
      <c r="H249" t="s">
        <v>27</v>
      </c>
      <c r="I249" t="s">
        <v>28</v>
      </c>
      <c r="J249" t="s">
        <v>29</v>
      </c>
      <c r="K249" t="s">
        <v>86</v>
      </c>
      <c r="L249" t="s">
        <v>87</v>
      </c>
      <c r="M249" t="s">
        <v>1301</v>
      </c>
      <c r="N249" t="s">
        <v>33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34</v>
      </c>
      <c r="V249" t="s">
        <v>35</v>
      </c>
      <c r="W249">
        <f>IF(ISBLANK(Q249), 0, IFERROR(VALUE(Q249), 0.7))</f>
        <v>0.25</v>
      </c>
      <c r="X249">
        <f>D249 - C249</f>
        <v>7</v>
      </c>
      <c r="Y249">
        <f>O249 * P249 * (1 - W249)</f>
        <v>14960.400000000001</v>
      </c>
      <c r="Z249">
        <f>Y249 - S249</f>
        <v>2459.5600000000013</v>
      </c>
      <c r="AA249">
        <f>IFERROR(Z249 / Y249, 0)</f>
        <v>0.16440469506162944</v>
      </c>
      <c r="AB249" t="str">
        <f>TEXT(C249, "mmmm")</f>
        <v>July</v>
      </c>
      <c r="AC249">
        <f>YEAR(C249)</f>
        <v>2024</v>
      </c>
      <c r="AD249" t="str">
        <f>IF(X249&lt;0, "Invalid: Ship Date Before Order Date", IF(W249&lt;0, "Invalid: Negative Discount", IF(W249&gt;0.5, "Invalid: Exceeds Allowed Discount", "OK")))</f>
        <v>OK</v>
      </c>
    </row>
    <row r="250" spans="1:30">
      <c r="A250" t="s">
        <v>1302</v>
      </c>
      <c r="B250" t="str">
        <f t="shared" si="3"/>
        <v>Unique</v>
      </c>
      <c r="C250" s="3">
        <v>45445</v>
      </c>
      <c r="D250" s="3">
        <v>45479</v>
      </c>
      <c r="E250" t="s">
        <v>1304</v>
      </c>
      <c r="F250" t="s">
        <v>180</v>
      </c>
      <c r="G250" t="s">
        <v>115</v>
      </c>
      <c r="H250" t="s">
        <v>42</v>
      </c>
      <c r="I250" t="s">
        <v>43</v>
      </c>
      <c r="J250" t="s">
        <v>44</v>
      </c>
      <c r="K250" t="s">
        <v>30</v>
      </c>
      <c r="L250" t="s">
        <v>109</v>
      </c>
      <c r="M250" t="s">
        <v>1305</v>
      </c>
      <c r="N250" t="s">
        <v>33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34</v>
      </c>
      <c r="V250" t="s">
        <v>35</v>
      </c>
      <c r="W250">
        <f>IF(ISBLANK(Q250), 0, IFERROR(VALUE(Q250), 0.7))</f>
        <v>0.15</v>
      </c>
      <c r="X250">
        <f>D250 - C250</f>
        <v>34</v>
      </c>
      <c r="Y250">
        <f>O250 * P250 * (1 - W250)</f>
        <v>6027.5114999999996</v>
      </c>
      <c r="Z250">
        <f>Y250 - S250</f>
        <v>1143.6914999999999</v>
      </c>
      <c r="AA250">
        <f>IFERROR(Z250 / Y250, 0)</f>
        <v>0.18974522072666306</v>
      </c>
      <c r="AB250" t="str">
        <f>TEXT(C250, "mmmm")</f>
        <v>June</v>
      </c>
      <c r="AC250">
        <f>YEAR(C250)</f>
        <v>2024</v>
      </c>
      <c r="AD250" t="str">
        <f>IF(X250&lt;0, "Invalid: Ship Date Before Order Date", IF(W250&lt;0, "Invalid: Negative Discount", IF(W250&gt;0.5, "Invalid: Exceeds Allowed Discount", "OK")))</f>
        <v>OK</v>
      </c>
    </row>
    <row r="251" spans="1:30">
      <c r="A251" t="s">
        <v>1306</v>
      </c>
      <c r="B251" t="str">
        <f t="shared" si="3"/>
        <v>Unique</v>
      </c>
      <c r="C251" s="3">
        <v>45870</v>
      </c>
      <c r="D251" s="3">
        <v>45871</v>
      </c>
      <c r="E251" t="s">
        <v>1308</v>
      </c>
      <c r="F251" t="s">
        <v>40</v>
      </c>
      <c r="G251" t="s">
        <v>108</v>
      </c>
      <c r="H251" t="s">
        <v>27</v>
      </c>
      <c r="I251" t="s">
        <v>28</v>
      </c>
      <c r="J251" t="s">
        <v>29</v>
      </c>
      <c r="K251" t="s">
        <v>45</v>
      </c>
      <c r="L251" t="s">
        <v>65</v>
      </c>
      <c r="M251" t="s">
        <v>1309</v>
      </c>
      <c r="N251" t="s">
        <v>56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34</v>
      </c>
      <c r="V251" t="s">
        <v>35</v>
      </c>
      <c r="W251">
        <f>IF(ISBLANK(Q251), 0, IFERROR(VALUE(Q251), 0.7))</f>
        <v>0.2</v>
      </c>
      <c r="X251">
        <f>D251 - C251</f>
        <v>1</v>
      </c>
      <c r="Y251">
        <f>O251 * P251 * (1 - W251)</f>
        <v>8928.9279999999999</v>
      </c>
      <c r="Z251">
        <f>Y251 - S251</f>
        <v>3294.5479999999998</v>
      </c>
      <c r="AA251">
        <f>IFERROR(Z251 / Y251, 0)</f>
        <v>0.36897464062875185</v>
      </c>
      <c r="AB251" t="str">
        <f>TEXT(C251, "mmmm")</f>
        <v>August</v>
      </c>
      <c r="AC251">
        <f>YEAR(C251)</f>
        <v>2025</v>
      </c>
      <c r="AD251" t="str">
        <f>IF(X251&lt;0, "Invalid: Ship Date Before Order Date", IF(W251&lt;0, "Invalid: Negative Discount", IF(W251&gt;0.5, "Invalid: Exceeds Allowed Discount", "OK")))</f>
        <v>OK</v>
      </c>
    </row>
    <row r="252" spans="1:30">
      <c r="A252" t="s">
        <v>1310</v>
      </c>
      <c r="B252" t="str">
        <f t="shared" si="3"/>
        <v>Unique</v>
      </c>
      <c r="C252" s="3">
        <v>45343</v>
      </c>
      <c r="D252" s="3">
        <v>45349</v>
      </c>
      <c r="E252" t="s">
        <v>1313</v>
      </c>
      <c r="F252" t="s">
        <v>61</v>
      </c>
      <c r="G252" t="s">
        <v>41</v>
      </c>
      <c r="H252" t="s">
        <v>42</v>
      </c>
      <c r="I252" t="s">
        <v>121</v>
      </c>
      <c r="J252" t="s">
        <v>122</v>
      </c>
      <c r="K252" t="s">
        <v>45</v>
      </c>
      <c r="L252" t="s">
        <v>65</v>
      </c>
      <c r="M252" t="s">
        <v>1314</v>
      </c>
      <c r="N252" t="s">
        <v>67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137</v>
      </c>
      <c r="V252" t="s">
        <v>125</v>
      </c>
      <c r="W252">
        <f>IF(ISBLANK(Q252), 0, IFERROR(VALUE(Q252), 0.7))</f>
        <v>0.15</v>
      </c>
      <c r="X252">
        <f>D252 - C252</f>
        <v>6</v>
      </c>
      <c r="Y252">
        <f>O252 * P252 * (1 - W252)</f>
        <v>14338.904999999999</v>
      </c>
      <c r="Z252">
        <f>Y252 - S252</f>
        <v>2441.2549999999992</v>
      </c>
      <c r="AA252">
        <f>IFERROR(Z252 / Y252, 0)</f>
        <v>0.17025393501107647</v>
      </c>
      <c r="AB252" t="str">
        <f>TEXT(C252, "mmmm")</f>
        <v>February</v>
      </c>
      <c r="AC252">
        <f>YEAR(C252)</f>
        <v>2024</v>
      </c>
      <c r="AD252" t="str">
        <f>IF(X252&lt;0, "Invalid: Ship Date Before Order Date", IF(W252&lt;0, "Invalid: Negative Discount", IF(W252&gt;0.5, "Invalid: Exceeds Allowed Discount", "OK")))</f>
        <v>OK</v>
      </c>
    </row>
    <row r="253" spans="1:30">
      <c r="A253" t="s">
        <v>1315</v>
      </c>
      <c r="B253" t="str">
        <f t="shared" si="3"/>
        <v>Unique</v>
      </c>
      <c r="C253" s="3">
        <v>45753</v>
      </c>
      <c r="D253" s="3">
        <v>45757</v>
      </c>
      <c r="E253" t="s">
        <v>1317</v>
      </c>
      <c r="F253" t="s">
        <v>72</v>
      </c>
      <c r="G253" t="s">
        <v>108</v>
      </c>
      <c r="H253" t="s">
        <v>73</v>
      </c>
      <c r="I253" t="s">
        <v>235</v>
      </c>
      <c r="J253" t="s">
        <v>236</v>
      </c>
      <c r="K253" t="s">
        <v>45</v>
      </c>
      <c r="L253" t="s">
        <v>46</v>
      </c>
      <c r="M253" t="s">
        <v>1318</v>
      </c>
      <c r="N253" t="s">
        <v>33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34</v>
      </c>
      <c r="V253" t="s">
        <v>35</v>
      </c>
      <c r="W253">
        <f>IF(ISBLANK(Q253), 0, IFERROR(VALUE(Q253), 0.7))</f>
        <v>0</v>
      </c>
      <c r="X253">
        <f>D253 - C253</f>
        <v>4</v>
      </c>
      <c r="Y253">
        <f>O253 * P253 * (1 - W253)</f>
        <v>6132.96</v>
      </c>
      <c r="Z253">
        <f>Y253 - S253</f>
        <v>1251.8599999999997</v>
      </c>
      <c r="AA253">
        <f>IFERROR(Z253 / Y253, 0)</f>
        <v>0.20412003339333692</v>
      </c>
      <c r="AB253" t="str">
        <f>TEXT(C253, "mmmm")</f>
        <v>April</v>
      </c>
      <c r="AC253">
        <f>YEAR(C253)</f>
        <v>2025</v>
      </c>
      <c r="AD253" t="str">
        <f>IF(X253&lt;0, "Invalid: Ship Date Before Order Date", IF(W253&lt;0, "Invalid: Negative Discount", IF(W253&gt;0.5, "Invalid: Exceeds Allowed Discount", "OK")))</f>
        <v>OK</v>
      </c>
    </row>
    <row r="254" spans="1:30">
      <c r="A254" t="s">
        <v>1319</v>
      </c>
      <c r="B254" t="str">
        <f t="shared" si="3"/>
        <v>Unique</v>
      </c>
      <c r="C254" s="3">
        <v>45833</v>
      </c>
      <c r="D254" s="3">
        <v>45836</v>
      </c>
      <c r="E254" t="s">
        <v>1321</v>
      </c>
      <c r="F254" t="s">
        <v>61</v>
      </c>
      <c r="G254" t="s">
        <v>108</v>
      </c>
      <c r="H254" t="s">
        <v>27</v>
      </c>
      <c r="I254" t="s">
        <v>323</v>
      </c>
      <c r="J254" t="s">
        <v>324</v>
      </c>
      <c r="K254" t="s">
        <v>30</v>
      </c>
      <c r="L254" t="s">
        <v>156</v>
      </c>
      <c r="M254" t="s">
        <v>1322</v>
      </c>
      <c r="N254" t="s">
        <v>56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137</v>
      </c>
      <c r="V254" t="s">
        <v>125</v>
      </c>
      <c r="W254">
        <f>IF(ISBLANK(Q254), 0, IFERROR(VALUE(Q254), 0.7))</f>
        <v>0.2</v>
      </c>
      <c r="X254">
        <f>D254 - C254</f>
        <v>3</v>
      </c>
      <c r="Y254">
        <f>O254 * P254 * (1 - W254)</f>
        <v>2329.4720000000002</v>
      </c>
      <c r="Z254">
        <f>Y254 - S254</f>
        <v>725.85200000000032</v>
      </c>
      <c r="AA254">
        <f>IFERROR(Z254 / Y254, 0)</f>
        <v>0.31159507390515973</v>
      </c>
      <c r="AB254" t="str">
        <f>TEXT(C254, "mmmm")</f>
        <v>June</v>
      </c>
      <c r="AC254">
        <f>YEAR(C254)</f>
        <v>2025</v>
      </c>
      <c r="AD254" t="str">
        <f>IF(X254&lt;0, "Invalid: Ship Date Before Order Date", IF(W254&lt;0, "Invalid: Negative Discount", IF(W254&gt;0.5, "Invalid: Exceeds Allowed Discount", "OK")))</f>
        <v>OK</v>
      </c>
    </row>
    <row r="255" spans="1:30">
      <c r="A255" t="s">
        <v>1323</v>
      </c>
      <c r="B255" t="str">
        <f t="shared" si="3"/>
        <v>Unique</v>
      </c>
      <c r="C255" s="3">
        <v>45547</v>
      </c>
      <c r="D255" s="3">
        <v>45548</v>
      </c>
      <c r="E255" t="s">
        <v>1326</v>
      </c>
      <c r="F255" t="s">
        <v>142</v>
      </c>
      <c r="G255" t="s">
        <v>41</v>
      </c>
      <c r="H255" t="s">
        <v>27</v>
      </c>
      <c r="I255" t="s">
        <v>28</v>
      </c>
      <c r="J255" t="s">
        <v>29</v>
      </c>
      <c r="K255" t="s">
        <v>86</v>
      </c>
      <c r="L255" t="s">
        <v>223</v>
      </c>
      <c r="M255" t="s">
        <v>1327</v>
      </c>
      <c r="N255" t="s">
        <v>48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124</v>
      </c>
      <c r="V255" t="s">
        <v>78</v>
      </c>
      <c r="W255">
        <f>IF(ISBLANK(Q255), 0, IFERROR(VALUE(Q255), 0.7))</f>
        <v>0.05</v>
      </c>
      <c r="X255">
        <f>D255 - C255</f>
        <v>1</v>
      </c>
      <c r="Y255">
        <f>O255 * P255 * (1 - W255)</f>
        <v>4746.9029999999993</v>
      </c>
      <c r="Z255">
        <f>Y255 - S255</f>
        <v>1921.5229999999992</v>
      </c>
      <c r="AA255">
        <f>IFERROR(Z255 / Y255, 0)</f>
        <v>0.40479508428969363</v>
      </c>
      <c r="AB255" t="str">
        <f>TEXT(C255, "mmmm")</f>
        <v>September</v>
      </c>
      <c r="AC255">
        <f>YEAR(C255)</f>
        <v>2024</v>
      </c>
      <c r="AD255" t="str">
        <f>IF(X255&lt;0, "Invalid: Ship Date Before Order Date", IF(W255&lt;0, "Invalid: Negative Discount", IF(W255&gt;0.5, "Invalid: Exceeds Allowed Discount", "OK")))</f>
        <v>OK</v>
      </c>
    </row>
    <row r="256" spans="1:30">
      <c r="A256" t="s">
        <v>1328</v>
      </c>
      <c r="B256" t="str">
        <f t="shared" si="3"/>
        <v>Unique</v>
      </c>
      <c r="C256" s="3">
        <v>45658</v>
      </c>
      <c r="D256" s="3">
        <v>45717</v>
      </c>
      <c r="E256" t="s">
        <v>1331</v>
      </c>
      <c r="F256" t="s">
        <v>72</v>
      </c>
      <c r="G256" t="s">
        <v>26</v>
      </c>
      <c r="H256" t="s">
        <v>73</v>
      </c>
      <c r="I256" t="s">
        <v>84</v>
      </c>
      <c r="J256" t="s">
        <v>85</v>
      </c>
      <c r="K256" t="s">
        <v>86</v>
      </c>
      <c r="L256" t="s">
        <v>87</v>
      </c>
      <c r="M256" t="s">
        <v>1332</v>
      </c>
      <c r="N256" t="s">
        <v>48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34</v>
      </c>
      <c r="V256" t="s">
        <v>125</v>
      </c>
      <c r="W256">
        <f>IF(ISBLANK(Q256), 0, IFERROR(VALUE(Q256), 0.7))</f>
        <v>0.2</v>
      </c>
      <c r="X256">
        <f>D256 - C256</f>
        <v>59</v>
      </c>
      <c r="Y256">
        <f>O256 * P256 * (1 - W256)</f>
        <v>5603.08</v>
      </c>
      <c r="Z256">
        <f>Y256 - S256</f>
        <v>2470.56</v>
      </c>
      <c r="AA256">
        <f>IFERROR(Z256 / Y256, 0)</f>
        <v>0.44092891766671188</v>
      </c>
      <c r="AB256" t="str">
        <f>TEXT(C256, "mmmm")</f>
        <v>January</v>
      </c>
      <c r="AC256">
        <f>YEAR(C256)</f>
        <v>2025</v>
      </c>
      <c r="AD256" t="str">
        <f>IF(X256&lt;0, "Invalid: Ship Date Before Order Date", IF(W256&lt;0, "Invalid: Negative Discount", IF(W256&gt;0.5, "Invalid: Exceeds Allowed Discount", "OK")))</f>
        <v>OK</v>
      </c>
    </row>
    <row r="257" spans="1:30">
      <c r="A257" t="s">
        <v>1333</v>
      </c>
      <c r="B257" t="str">
        <f t="shared" si="3"/>
        <v>Unique</v>
      </c>
      <c r="C257" s="3">
        <v>45692</v>
      </c>
      <c r="D257" s="3">
        <v>45698</v>
      </c>
      <c r="E257" t="s">
        <v>1336</v>
      </c>
      <c r="F257" t="s">
        <v>53</v>
      </c>
      <c r="G257" t="s">
        <v>108</v>
      </c>
      <c r="H257" t="s">
        <v>73</v>
      </c>
      <c r="I257" t="s">
        <v>74</v>
      </c>
      <c r="J257" t="s">
        <v>75</v>
      </c>
      <c r="K257" t="s">
        <v>86</v>
      </c>
      <c r="L257" t="s">
        <v>223</v>
      </c>
      <c r="M257" t="s">
        <v>1337</v>
      </c>
      <c r="N257" t="s">
        <v>56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34</v>
      </c>
      <c r="V257" t="s">
        <v>35</v>
      </c>
      <c r="W257">
        <f>IF(ISBLANK(Q257), 0, IFERROR(VALUE(Q257), 0.7))</f>
        <v>0</v>
      </c>
      <c r="X257">
        <f>D257 - C257</f>
        <v>6</v>
      </c>
      <c r="Y257">
        <f>O257 * P257 * (1 - W257)</f>
        <v>12810</v>
      </c>
      <c r="Z257">
        <f>Y257 - S257</f>
        <v>3475.8799999999992</v>
      </c>
      <c r="AA257">
        <f>IFERROR(Z257 / Y257, 0)</f>
        <v>0.27134113973458229</v>
      </c>
      <c r="AB257" t="str">
        <f>TEXT(C257, "mmmm")</f>
        <v>February</v>
      </c>
      <c r="AC257">
        <f>YEAR(C257)</f>
        <v>2025</v>
      </c>
      <c r="AD257" t="str">
        <f>IF(X257&lt;0, "Invalid: Ship Date Before Order Date", IF(W257&lt;0, "Invalid: Negative Discount", IF(W257&gt;0.5, "Invalid: Exceeds Allowed Discount", "OK")))</f>
        <v>OK</v>
      </c>
    </row>
    <row r="258" spans="1:30">
      <c r="A258" t="s">
        <v>1338</v>
      </c>
      <c r="B258" t="str">
        <f t="shared" si="3"/>
        <v>Unique</v>
      </c>
      <c r="C258" s="3">
        <v>45601</v>
      </c>
      <c r="D258" s="3">
        <v>45599</v>
      </c>
      <c r="E258" t="s">
        <v>1340</v>
      </c>
      <c r="F258" t="s">
        <v>72</v>
      </c>
      <c r="G258" t="s">
        <v>26</v>
      </c>
      <c r="H258" t="s">
        <v>42</v>
      </c>
      <c r="I258" t="s">
        <v>121</v>
      </c>
      <c r="J258" t="s">
        <v>122</v>
      </c>
      <c r="K258" t="s">
        <v>45</v>
      </c>
      <c r="L258" t="s">
        <v>46</v>
      </c>
      <c r="M258" t="s">
        <v>1341</v>
      </c>
      <c r="N258" t="s">
        <v>56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34</v>
      </c>
      <c r="V258" t="s">
        <v>35</v>
      </c>
      <c r="W258">
        <f>IF(ISBLANK(Q258), 0, IFERROR(VALUE(Q258), 0.7))</f>
        <v>0.05</v>
      </c>
      <c r="X258">
        <f>D258 - C258</f>
        <v>-2</v>
      </c>
      <c r="Y258">
        <f>O258 * P258 * (1 - W258)</f>
        <v>19328.215500000002</v>
      </c>
      <c r="Z258">
        <f>Y258 - S258</f>
        <v>7288.7155000000021</v>
      </c>
      <c r="AA258">
        <f>IFERROR(Z258 / Y258, 0)</f>
        <v>0.3771023507058891</v>
      </c>
      <c r="AB258" t="str">
        <f>TEXT(C258, "mmmm")</f>
        <v>November</v>
      </c>
      <c r="AC258">
        <f>YEAR(C258)</f>
        <v>2024</v>
      </c>
      <c r="AD258" t="str">
        <f>IF(X258&lt;0, "Invalid: Ship Date Before Order Date", IF(W258&lt;0, "Invalid: Negative Discount", IF(W258&gt;0.5, "Invalid: Exceeds Allowed Discount", "OK")))</f>
        <v>Invalid: Ship Date Before Order Date</v>
      </c>
    </row>
    <row r="259" spans="1:30">
      <c r="A259" t="s">
        <v>1342</v>
      </c>
      <c r="B259" t="str">
        <f t="shared" ref="B259:B322" si="4">IF(COUNTIF(A:A, A259)&gt;1, "Review: Duplicate Order ID", "Unique")</f>
        <v>Unique</v>
      </c>
      <c r="C259" s="3">
        <v>45878</v>
      </c>
      <c r="D259" s="3">
        <v>45881</v>
      </c>
      <c r="E259" t="s">
        <v>1345</v>
      </c>
      <c r="F259" t="s">
        <v>210</v>
      </c>
      <c r="G259" t="s">
        <v>108</v>
      </c>
      <c r="H259" t="s">
        <v>62</v>
      </c>
      <c r="I259" t="s">
        <v>229</v>
      </c>
      <c r="J259" t="s">
        <v>230</v>
      </c>
      <c r="K259" t="s">
        <v>86</v>
      </c>
      <c r="L259" t="s">
        <v>87</v>
      </c>
      <c r="M259" t="s">
        <v>1346</v>
      </c>
      <c r="N259" t="s">
        <v>33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34</v>
      </c>
      <c r="V259" t="s">
        <v>78</v>
      </c>
      <c r="W259">
        <f>IF(ISBLANK(Q259), 0, IFERROR(VALUE(Q259), 0.7))</f>
        <v>0</v>
      </c>
      <c r="X259">
        <f>D259 - C259</f>
        <v>3</v>
      </c>
      <c r="Y259">
        <f>O259 * P259 * (1 - W259)</f>
        <v>6474.54</v>
      </c>
      <c r="Z259">
        <f>Y259 - S259</f>
        <v>1378.63</v>
      </c>
      <c r="AA259">
        <f>IFERROR(Z259 / Y259, 0)</f>
        <v>0.21293095725719513</v>
      </c>
      <c r="AB259" t="str">
        <f>TEXT(C259, "mmmm")</f>
        <v>August</v>
      </c>
      <c r="AC259">
        <f>YEAR(C259)</f>
        <v>2025</v>
      </c>
      <c r="AD259" t="str">
        <f>IF(X259&lt;0, "Invalid: Ship Date Before Order Date", IF(W259&lt;0, "Invalid: Negative Discount", IF(W259&gt;0.5, "Invalid: Exceeds Allowed Discount", "OK")))</f>
        <v>OK</v>
      </c>
    </row>
    <row r="260" spans="1:30">
      <c r="A260" t="s">
        <v>1347</v>
      </c>
      <c r="B260" t="str">
        <f t="shared" si="4"/>
        <v>Unique</v>
      </c>
      <c r="C260" s="3">
        <v>45656</v>
      </c>
      <c r="D260" s="3">
        <v>45661</v>
      </c>
      <c r="E260" t="s">
        <v>1349</v>
      </c>
      <c r="F260" t="s">
        <v>168</v>
      </c>
      <c r="G260" t="s">
        <v>108</v>
      </c>
      <c r="H260" t="s">
        <v>62</v>
      </c>
      <c r="I260" t="s">
        <v>339</v>
      </c>
      <c r="J260" t="s">
        <v>340</v>
      </c>
      <c r="K260" t="s">
        <v>45</v>
      </c>
      <c r="L260" t="s">
        <v>46</v>
      </c>
      <c r="M260" t="s">
        <v>1350</v>
      </c>
      <c r="N260" t="s">
        <v>48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34</v>
      </c>
      <c r="V260" t="s">
        <v>35</v>
      </c>
      <c r="W260">
        <f>IF(ISBLANK(Q260), 0, IFERROR(VALUE(Q260), 0.7))</f>
        <v>0.25</v>
      </c>
      <c r="X260">
        <f>D260 - C260</f>
        <v>5</v>
      </c>
      <c r="Y260">
        <f>O260 * P260 * (1 - W260)</f>
        <v>5580.1050000000005</v>
      </c>
      <c r="Z260">
        <f>Y260 - S260</f>
        <v>1273.0950000000003</v>
      </c>
      <c r="AA260">
        <f>IFERROR(Z260 / Y260, 0)</f>
        <v>0.22814893268137429</v>
      </c>
      <c r="AB260" t="str">
        <f>TEXT(C260, "mmmm")</f>
        <v>December</v>
      </c>
      <c r="AC260">
        <f>YEAR(C260)</f>
        <v>2024</v>
      </c>
      <c r="AD260" t="str">
        <f>IF(X260&lt;0, "Invalid: Ship Date Before Order Date", IF(W260&lt;0, "Invalid: Negative Discount", IF(W260&gt;0.5, "Invalid: Exceeds Allowed Discount", "OK")))</f>
        <v>OK</v>
      </c>
    </row>
    <row r="261" spans="1:30">
      <c r="A261" t="s">
        <v>1351</v>
      </c>
      <c r="B261" t="str">
        <f t="shared" si="4"/>
        <v>Unique</v>
      </c>
      <c r="C261" s="3">
        <v>45464</v>
      </c>
      <c r="D261" s="3">
        <v>45472</v>
      </c>
      <c r="E261" t="s">
        <v>1354</v>
      </c>
      <c r="F261" t="s">
        <v>93</v>
      </c>
      <c r="G261" t="s">
        <v>26</v>
      </c>
      <c r="H261" t="s">
        <v>62</v>
      </c>
      <c r="I261" t="s">
        <v>339</v>
      </c>
      <c r="J261" t="s">
        <v>340</v>
      </c>
      <c r="K261" t="s">
        <v>86</v>
      </c>
      <c r="L261" t="s">
        <v>382</v>
      </c>
      <c r="M261" t="s">
        <v>1355</v>
      </c>
      <c r="N261" t="s">
        <v>67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34</v>
      </c>
      <c r="V261" t="s">
        <v>35</v>
      </c>
      <c r="W261">
        <f>IF(ISBLANK(Q261), 0, IFERROR(VALUE(Q261), 0.7))</f>
        <v>0.2</v>
      </c>
      <c r="X261">
        <f>D261 - C261</f>
        <v>8</v>
      </c>
      <c r="Y261">
        <f>O261 * P261 * (1 - W261)</f>
        <v>18265.088</v>
      </c>
      <c r="Z261">
        <f>Y261 - S261</f>
        <v>7827.9480000000003</v>
      </c>
      <c r="AA261">
        <f>IFERROR(Z261 / Y261, 0)</f>
        <v>0.42857433810338064</v>
      </c>
      <c r="AB261" t="str">
        <f>TEXT(C261, "mmmm")</f>
        <v>June</v>
      </c>
      <c r="AC261">
        <f>YEAR(C261)</f>
        <v>2024</v>
      </c>
      <c r="AD261" t="str">
        <f>IF(X261&lt;0, "Invalid: Ship Date Before Order Date", IF(W261&lt;0, "Invalid: Negative Discount", IF(W261&gt;0.5, "Invalid: Exceeds Allowed Discount", "OK")))</f>
        <v>OK</v>
      </c>
    </row>
    <row r="262" spans="1:30">
      <c r="A262" t="s">
        <v>1356</v>
      </c>
      <c r="B262" t="str">
        <f t="shared" si="4"/>
        <v>Unique</v>
      </c>
      <c r="C262" s="3">
        <v>45923</v>
      </c>
      <c r="D262" s="3">
        <v>45927</v>
      </c>
      <c r="E262" t="s">
        <v>1359</v>
      </c>
      <c r="F262" t="s">
        <v>107</v>
      </c>
      <c r="G262" t="s">
        <v>108</v>
      </c>
      <c r="H262" t="s">
        <v>42</v>
      </c>
      <c r="I262" t="s">
        <v>121</v>
      </c>
      <c r="J262" t="s">
        <v>122</v>
      </c>
      <c r="K262" t="s">
        <v>30</v>
      </c>
      <c r="L262" t="s">
        <v>198</v>
      </c>
      <c r="M262" t="s">
        <v>1360</v>
      </c>
      <c r="N262" t="s">
        <v>48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200</v>
      </c>
      <c r="V262" t="s">
        <v>125</v>
      </c>
      <c r="W262">
        <f>IF(ISBLANK(Q262), 0, IFERROR(VALUE(Q262), 0.7))</f>
        <v>0.25</v>
      </c>
      <c r="X262">
        <f>D262 - C262</f>
        <v>4</v>
      </c>
      <c r="Y262">
        <f>O262 * P262 * (1 - W262)</f>
        <v>15209.880000000001</v>
      </c>
      <c r="Z262">
        <f>Y262 - S262</f>
        <v>4318.7300000000014</v>
      </c>
      <c r="AA262">
        <f>IFERROR(Z262 / Y262, 0)</f>
        <v>0.28394241111698454</v>
      </c>
      <c r="AB262" t="str">
        <f>TEXT(C262, "mmmm")</f>
        <v>September</v>
      </c>
      <c r="AC262">
        <f>YEAR(C262)</f>
        <v>2025</v>
      </c>
      <c r="AD262" t="str">
        <f>IF(X262&lt;0, "Invalid: Ship Date Before Order Date", IF(W262&lt;0, "Invalid: Negative Discount", IF(W262&gt;0.5, "Invalid: Exceeds Allowed Discount", "OK")))</f>
        <v>OK</v>
      </c>
    </row>
    <row r="263" spans="1:30">
      <c r="A263" t="s">
        <v>1361</v>
      </c>
      <c r="B263" t="str">
        <f t="shared" si="4"/>
        <v>Unique</v>
      </c>
      <c r="C263" s="3">
        <v>45826</v>
      </c>
      <c r="D263" s="3">
        <v>45832</v>
      </c>
      <c r="E263" t="s">
        <v>1364</v>
      </c>
      <c r="F263" t="s">
        <v>168</v>
      </c>
      <c r="G263" t="s">
        <v>108</v>
      </c>
      <c r="H263" t="s">
        <v>27</v>
      </c>
      <c r="I263" t="s">
        <v>28</v>
      </c>
      <c r="J263" t="s">
        <v>29</v>
      </c>
      <c r="K263" t="s">
        <v>30</v>
      </c>
      <c r="L263" t="s">
        <v>109</v>
      </c>
      <c r="M263" t="s">
        <v>1365</v>
      </c>
      <c r="N263" t="s">
        <v>67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200</v>
      </c>
      <c r="V263" t="s">
        <v>78</v>
      </c>
      <c r="W263">
        <f>IF(ISBLANK(Q263), 0, IFERROR(VALUE(Q263), 0.7))</f>
        <v>0.2</v>
      </c>
      <c r="X263">
        <f>D263 - C263</f>
        <v>6</v>
      </c>
      <c r="Y263">
        <f>O263 * P263 * (1 - W263)</f>
        <v>1648.1760000000004</v>
      </c>
      <c r="Z263">
        <f>Y263 - S263</f>
        <v>660.26600000000042</v>
      </c>
      <c r="AA263">
        <f>IFERROR(Z263 / Y263, 0)</f>
        <v>0.40060406170214846</v>
      </c>
      <c r="AB263" t="str">
        <f>TEXT(C263, "mmmm")</f>
        <v>June</v>
      </c>
      <c r="AC263">
        <f>YEAR(C263)</f>
        <v>2025</v>
      </c>
      <c r="AD263" t="str">
        <f>IF(X263&lt;0, "Invalid: Ship Date Before Order Date", IF(W263&lt;0, "Invalid: Negative Discount", IF(W263&gt;0.5, "Invalid: Exceeds Allowed Discount", "OK")))</f>
        <v>OK</v>
      </c>
    </row>
    <row r="264" spans="1:30">
      <c r="A264" t="s">
        <v>1366</v>
      </c>
      <c r="B264" t="str">
        <f t="shared" si="4"/>
        <v>Unique</v>
      </c>
      <c r="C264" s="3">
        <v>45803</v>
      </c>
      <c r="D264" s="3">
        <v>45809</v>
      </c>
      <c r="E264" t="s">
        <v>950</v>
      </c>
      <c r="F264" t="s">
        <v>61</v>
      </c>
      <c r="G264" t="s">
        <v>41</v>
      </c>
      <c r="H264" t="s">
        <v>27</v>
      </c>
      <c r="I264" t="s">
        <v>506</v>
      </c>
      <c r="J264" t="s">
        <v>507</v>
      </c>
      <c r="K264" t="s">
        <v>86</v>
      </c>
      <c r="L264" t="s">
        <v>223</v>
      </c>
      <c r="M264" t="s">
        <v>1369</v>
      </c>
      <c r="N264" t="s">
        <v>48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137</v>
      </c>
      <c r="V264" t="s">
        <v>125</v>
      </c>
      <c r="W264">
        <f>IF(ISBLANK(Q264), 0, IFERROR(VALUE(Q264), 0.7))</f>
        <v>0</v>
      </c>
      <c r="X264">
        <f>D264 - C264</f>
        <v>6</v>
      </c>
      <c r="Y264">
        <f>O264 * P264 * (1 - W264)</f>
        <v>13399.44</v>
      </c>
      <c r="Z264">
        <f>Y264 - S264</f>
        <v>4818.09</v>
      </c>
      <c r="AA264">
        <f>IFERROR(Z264 / Y264, 0)</f>
        <v>0.3595739821962709</v>
      </c>
      <c r="AB264" t="str">
        <f>TEXT(C264, "mmmm")</f>
        <v>May</v>
      </c>
      <c r="AC264">
        <f>YEAR(C264)</f>
        <v>2025</v>
      </c>
      <c r="AD264" t="str">
        <f>IF(X264&lt;0, "Invalid: Ship Date Before Order Date", IF(W264&lt;0, "Invalid: Negative Discount", IF(W264&gt;0.5, "Invalid: Exceeds Allowed Discount", "OK")))</f>
        <v>OK</v>
      </c>
    </row>
    <row r="265" spans="1:30">
      <c r="A265" t="s">
        <v>1370</v>
      </c>
      <c r="B265" t="str">
        <f t="shared" si="4"/>
        <v>Unique</v>
      </c>
      <c r="C265" s="3">
        <v>45875</v>
      </c>
      <c r="D265" s="3">
        <v>45938</v>
      </c>
      <c r="E265" t="s">
        <v>1372</v>
      </c>
      <c r="F265" t="s">
        <v>180</v>
      </c>
      <c r="G265" t="s">
        <v>41</v>
      </c>
      <c r="H265" t="s">
        <v>27</v>
      </c>
      <c r="I265" t="s">
        <v>506</v>
      </c>
      <c r="J265" t="s">
        <v>507</v>
      </c>
      <c r="K265" t="s">
        <v>30</v>
      </c>
      <c r="L265" t="s">
        <v>198</v>
      </c>
      <c r="M265" t="s">
        <v>1373</v>
      </c>
      <c r="N265" t="s">
        <v>33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137</v>
      </c>
      <c r="V265" t="s">
        <v>125</v>
      </c>
      <c r="W265">
        <f>IF(ISBLANK(Q265), 0, IFERROR(VALUE(Q265), 0.7))</f>
        <v>0.1</v>
      </c>
      <c r="X265">
        <f>D265 - C265</f>
        <v>63</v>
      </c>
      <c r="Y265">
        <f>O265 * P265 * (1 - W265)</f>
        <v>32743.844999999998</v>
      </c>
      <c r="Z265">
        <f>Y265 - S265</f>
        <v>10291.794999999998</v>
      </c>
      <c r="AA265">
        <f>IFERROR(Z265 / Y265, 0)</f>
        <v>0.314312353970647</v>
      </c>
      <c r="AB265" t="str">
        <f>TEXT(C265, "mmmm")</f>
        <v>August</v>
      </c>
      <c r="AC265">
        <f>YEAR(C265)</f>
        <v>2025</v>
      </c>
      <c r="AD265" t="str">
        <f>IF(X265&lt;0, "Invalid: Ship Date Before Order Date", IF(W265&lt;0, "Invalid: Negative Discount", IF(W265&gt;0.5, "Invalid: Exceeds Allowed Discount", "OK")))</f>
        <v>OK</v>
      </c>
    </row>
    <row r="266" spans="1:30">
      <c r="A266" t="s">
        <v>1374</v>
      </c>
      <c r="B266" t="str">
        <f t="shared" si="4"/>
        <v>Unique</v>
      </c>
      <c r="C266" s="3">
        <v>45428</v>
      </c>
      <c r="D266" s="3">
        <v>45433</v>
      </c>
      <c r="E266" t="s">
        <v>1377</v>
      </c>
      <c r="F266" t="s">
        <v>210</v>
      </c>
      <c r="G266" t="s">
        <v>41</v>
      </c>
      <c r="H266" t="s">
        <v>42</v>
      </c>
      <c r="I266" t="s">
        <v>186</v>
      </c>
      <c r="J266" t="s">
        <v>187</v>
      </c>
      <c r="K266" t="s">
        <v>86</v>
      </c>
      <c r="L266" t="s">
        <v>94</v>
      </c>
      <c r="M266" t="s">
        <v>1378</v>
      </c>
      <c r="N266" t="s">
        <v>67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34</v>
      </c>
      <c r="V266" t="s">
        <v>35</v>
      </c>
      <c r="W266">
        <f>IF(ISBLANK(Q266), 0, IFERROR(VALUE(Q266), 0.7))</f>
        <v>0</v>
      </c>
      <c r="X266">
        <f>D266 - C266</f>
        <v>5</v>
      </c>
      <c r="Y266">
        <f>O266 * P266 * (1 - W266)</f>
        <v>6012.28</v>
      </c>
      <c r="Z266">
        <f>Y266 - S266</f>
        <v>2084.64</v>
      </c>
      <c r="AA266">
        <f>IFERROR(Z266 / Y266, 0)</f>
        <v>0.34673035853286938</v>
      </c>
      <c r="AB266" t="str">
        <f>TEXT(C266, "mmmm")</f>
        <v>May</v>
      </c>
      <c r="AC266">
        <f>YEAR(C266)</f>
        <v>2024</v>
      </c>
      <c r="AD266" t="str">
        <f>IF(X266&lt;0, "Invalid: Ship Date Before Order Date", IF(W266&lt;0, "Invalid: Negative Discount", IF(W266&gt;0.5, "Invalid: Exceeds Allowed Discount", "OK")))</f>
        <v>OK</v>
      </c>
    </row>
    <row r="267" spans="1:30">
      <c r="A267" t="s">
        <v>1379</v>
      </c>
      <c r="B267" t="str">
        <f t="shared" si="4"/>
        <v>Unique</v>
      </c>
      <c r="C267" s="3">
        <v>45610</v>
      </c>
      <c r="D267" s="3">
        <v>45618</v>
      </c>
      <c r="E267" t="s">
        <v>1381</v>
      </c>
      <c r="F267" t="s">
        <v>142</v>
      </c>
      <c r="G267" t="s">
        <v>108</v>
      </c>
      <c r="H267" t="s">
        <v>42</v>
      </c>
      <c r="I267" t="s">
        <v>186</v>
      </c>
      <c r="J267" t="s">
        <v>187</v>
      </c>
      <c r="K267" t="s">
        <v>45</v>
      </c>
      <c r="L267" t="s">
        <v>204</v>
      </c>
      <c r="M267" t="s">
        <v>1382</v>
      </c>
      <c r="N267" t="s">
        <v>48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124</v>
      </c>
      <c r="V267" t="s">
        <v>78</v>
      </c>
      <c r="W267">
        <f>IF(ISBLANK(Q267), 0, IFERROR(VALUE(Q267), 0.7))</f>
        <v>0.15</v>
      </c>
      <c r="X267">
        <f>D267 - C267</f>
        <v>8</v>
      </c>
      <c r="Y267">
        <f>O267 * P267 * (1 - W267)</f>
        <v>495.0145</v>
      </c>
      <c r="Z267">
        <f>Y267 - S267</f>
        <v>209.8845</v>
      </c>
      <c r="AA267">
        <f>IFERROR(Z267 / Y267, 0)</f>
        <v>0.42399667080459258</v>
      </c>
      <c r="AB267" t="str">
        <f>TEXT(C267, "mmmm")</f>
        <v>November</v>
      </c>
      <c r="AC267">
        <f>YEAR(C267)</f>
        <v>2024</v>
      </c>
      <c r="AD267" t="str">
        <f>IF(X267&lt;0, "Invalid: Ship Date Before Order Date", IF(W267&lt;0, "Invalid: Negative Discount", IF(W267&gt;0.5, "Invalid: Exceeds Allowed Discount", "OK")))</f>
        <v>OK</v>
      </c>
    </row>
    <row r="268" spans="1:30">
      <c r="A268" t="s">
        <v>1383</v>
      </c>
      <c r="B268" t="str">
        <f t="shared" si="4"/>
        <v>Unique</v>
      </c>
      <c r="C268" s="3">
        <v>45780</v>
      </c>
      <c r="D268" s="3">
        <v>45787</v>
      </c>
      <c r="E268" t="s">
        <v>1386</v>
      </c>
      <c r="F268" t="s">
        <v>93</v>
      </c>
      <c r="G268" t="s">
        <v>115</v>
      </c>
      <c r="H268" t="s">
        <v>73</v>
      </c>
      <c r="I268" t="s">
        <v>74</v>
      </c>
      <c r="J268" t="s">
        <v>75</v>
      </c>
      <c r="K268" t="s">
        <v>30</v>
      </c>
      <c r="L268" t="s">
        <v>156</v>
      </c>
      <c r="M268" t="s">
        <v>1387</v>
      </c>
      <c r="N268" t="s">
        <v>33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34</v>
      </c>
      <c r="V268" t="s">
        <v>35</v>
      </c>
      <c r="W268">
        <f>IF(ISBLANK(Q268), 0, IFERROR(VALUE(Q268), 0.7))</f>
        <v>0</v>
      </c>
      <c r="X268">
        <f>D268 - C268</f>
        <v>7</v>
      </c>
      <c r="Y268">
        <f>O268 * P268 * (1 - W268)</f>
        <v>13017.72</v>
      </c>
      <c r="Z268">
        <f>Y268 - S268</f>
        <v>2847.1499999999996</v>
      </c>
      <c r="AA268">
        <f>IFERROR(Z268 / Y268, 0)</f>
        <v>0.21871341525244051</v>
      </c>
      <c r="AB268" t="str">
        <f>TEXT(C268, "mmmm")</f>
        <v>May</v>
      </c>
      <c r="AC268">
        <f>YEAR(C268)</f>
        <v>2025</v>
      </c>
      <c r="AD268" t="str">
        <f>IF(X268&lt;0, "Invalid: Ship Date Before Order Date", IF(W268&lt;0, "Invalid: Negative Discount", IF(W268&gt;0.5, "Invalid: Exceeds Allowed Discount", "OK")))</f>
        <v>OK</v>
      </c>
    </row>
    <row r="269" spans="1:30">
      <c r="A269" t="s">
        <v>1388</v>
      </c>
      <c r="B269" t="str">
        <f t="shared" si="4"/>
        <v>Unique</v>
      </c>
      <c r="C269" s="3">
        <v>45805</v>
      </c>
      <c r="D269" s="3">
        <v>45753</v>
      </c>
      <c r="E269" t="s">
        <v>1390</v>
      </c>
      <c r="F269" t="s">
        <v>210</v>
      </c>
      <c r="G269" t="s">
        <v>108</v>
      </c>
      <c r="H269" t="s">
        <v>42</v>
      </c>
      <c r="I269" t="s">
        <v>311</v>
      </c>
      <c r="J269" t="s">
        <v>312</v>
      </c>
      <c r="K269" t="s">
        <v>45</v>
      </c>
      <c r="L269" t="s">
        <v>65</v>
      </c>
      <c r="M269" t="s">
        <v>1391</v>
      </c>
      <c r="N269" t="s">
        <v>56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34</v>
      </c>
      <c r="V269" t="s">
        <v>35</v>
      </c>
      <c r="W269">
        <f>IF(ISBLANK(Q269), 0, IFERROR(VALUE(Q269), 0.7))</f>
        <v>0.25</v>
      </c>
      <c r="X269">
        <f>D269 - C269</f>
        <v>-52</v>
      </c>
      <c r="Y269">
        <f>O269 * P269 * (1 - W269)</f>
        <v>785.40000000000009</v>
      </c>
      <c r="Z269">
        <f>Y269 - S269</f>
        <v>228.18000000000006</v>
      </c>
      <c r="AA269">
        <f>IFERROR(Z269 / Y269, 0)</f>
        <v>0.29052711993888469</v>
      </c>
      <c r="AB269" t="str">
        <f>TEXT(C269, "mmmm")</f>
        <v>May</v>
      </c>
      <c r="AC269">
        <f>YEAR(C269)</f>
        <v>2025</v>
      </c>
      <c r="AD269" t="str">
        <f>IF(X269&lt;0, "Invalid: Ship Date Before Order Date", IF(W269&lt;0, "Invalid: Negative Discount", IF(W269&gt;0.5, "Invalid: Exceeds Allowed Discount", "OK")))</f>
        <v>Invalid: Ship Date Before Order Date</v>
      </c>
    </row>
    <row r="270" spans="1:30">
      <c r="A270" t="s">
        <v>1392</v>
      </c>
      <c r="B270" t="str">
        <f t="shared" si="4"/>
        <v>Unique</v>
      </c>
      <c r="C270" s="3">
        <v>45886</v>
      </c>
      <c r="D270" s="3">
        <v>45886</v>
      </c>
      <c r="E270" t="s">
        <v>1394</v>
      </c>
      <c r="F270" t="s">
        <v>162</v>
      </c>
      <c r="G270" t="s">
        <v>115</v>
      </c>
      <c r="H270" t="s">
        <v>27</v>
      </c>
      <c r="I270" t="s">
        <v>154</v>
      </c>
      <c r="J270" t="s">
        <v>155</v>
      </c>
      <c r="K270" t="s">
        <v>86</v>
      </c>
      <c r="L270" t="s">
        <v>87</v>
      </c>
      <c r="M270" t="s">
        <v>1395</v>
      </c>
      <c r="N270" t="s">
        <v>56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34</v>
      </c>
      <c r="V270" t="s">
        <v>35</v>
      </c>
      <c r="W270">
        <f>IF(ISBLANK(Q270), 0, IFERROR(VALUE(Q270), 0.7))</f>
        <v>0.25</v>
      </c>
      <c r="X270">
        <f>D270 - C270</f>
        <v>0</v>
      </c>
      <c r="Y270">
        <f>O270 * P270 * (1 - W270)</f>
        <v>3319.05</v>
      </c>
      <c r="Z270">
        <f>Y270 - S270</f>
        <v>1194.4500000000003</v>
      </c>
      <c r="AA270">
        <f>IFERROR(Z270 / Y270, 0)</f>
        <v>0.35987707325891449</v>
      </c>
      <c r="AB270" t="str">
        <f>TEXT(C270, "mmmm")</f>
        <v>August</v>
      </c>
      <c r="AC270">
        <f>YEAR(C270)</f>
        <v>2025</v>
      </c>
      <c r="AD270" t="str">
        <f>IF(X270&lt;0, "Invalid: Ship Date Before Order Date", IF(W270&lt;0, "Invalid: Negative Discount", IF(W270&gt;0.5, "Invalid: Exceeds Allowed Discount", "OK")))</f>
        <v>OK</v>
      </c>
    </row>
    <row r="271" spans="1:30">
      <c r="A271" t="s">
        <v>1396</v>
      </c>
      <c r="B271" t="str">
        <f t="shared" si="4"/>
        <v>Unique</v>
      </c>
      <c r="C271" s="3">
        <v>45698</v>
      </c>
      <c r="D271" s="3">
        <v>45700</v>
      </c>
      <c r="E271" t="s">
        <v>1398</v>
      </c>
      <c r="F271" t="s">
        <v>148</v>
      </c>
      <c r="G271" t="s">
        <v>41</v>
      </c>
      <c r="H271" t="s">
        <v>73</v>
      </c>
      <c r="I271" t="s">
        <v>28</v>
      </c>
      <c r="J271" t="s">
        <v>135</v>
      </c>
      <c r="K271" t="s">
        <v>45</v>
      </c>
      <c r="L271" t="s">
        <v>46</v>
      </c>
      <c r="M271" t="s">
        <v>1399</v>
      </c>
      <c r="N271" t="s">
        <v>48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34</v>
      </c>
      <c r="V271" t="s">
        <v>35</v>
      </c>
      <c r="W271">
        <f>IF(ISBLANK(Q271), 0, IFERROR(VALUE(Q271), 0.7))</f>
        <v>0</v>
      </c>
      <c r="X271">
        <f>D271 - C271</f>
        <v>2</v>
      </c>
      <c r="Y271">
        <f>O271 * P271 * (1 - W271)</f>
        <v>1925.86</v>
      </c>
      <c r="Z271">
        <f>Y271 - S271</f>
        <v>603.9699999999998</v>
      </c>
      <c r="AA271">
        <f>IFERROR(Z271 / Y271, 0)</f>
        <v>0.31361054282242729</v>
      </c>
      <c r="AB271" t="str">
        <f>TEXT(C271, "mmmm")</f>
        <v>February</v>
      </c>
      <c r="AC271">
        <f>YEAR(C271)</f>
        <v>2025</v>
      </c>
      <c r="AD271" t="str">
        <f>IF(X271&lt;0, "Invalid: Ship Date Before Order Date", IF(W271&lt;0, "Invalid: Negative Discount", IF(W271&gt;0.5, "Invalid: Exceeds Allowed Discount", "OK")))</f>
        <v>OK</v>
      </c>
    </row>
    <row r="272" spans="1:30">
      <c r="A272" t="s">
        <v>1400</v>
      </c>
      <c r="B272" t="str">
        <f t="shared" si="4"/>
        <v>Unique</v>
      </c>
      <c r="C272" s="3">
        <v>45303</v>
      </c>
      <c r="D272" s="3">
        <v>45304</v>
      </c>
      <c r="E272" t="s">
        <v>1401</v>
      </c>
      <c r="F272" t="s">
        <v>107</v>
      </c>
      <c r="G272" t="s">
        <v>108</v>
      </c>
      <c r="H272" t="s">
        <v>27</v>
      </c>
      <c r="I272" t="s">
        <v>174</v>
      </c>
      <c r="J272" t="s">
        <v>175</v>
      </c>
      <c r="K272" t="s">
        <v>86</v>
      </c>
      <c r="L272" t="s">
        <v>382</v>
      </c>
      <c r="M272" t="s">
        <v>1402</v>
      </c>
      <c r="N272" t="s">
        <v>48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34</v>
      </c>
      <c r="V272" t="s">
        <v>35</v>
      </c>
      <c r="W272">
        <f>IF(ISBLANK(Q272), 0, IFERROR(VALUE(Q272), 0.7))</f>
        <v>0</v>
      </c>
      <c r="X272">
        <f>D272 - C272</f>
        <v>1</v>
      </c>
      <c r="Y272">
        <f>O272 * P272 * (1 - W272)</f>
        <v>2482.3200000000002</v>
      </c>
      <c r="Z272">
        <f>Y272 - S272</f>
        <v>962.11000000000013</v>
      </c>
      <c r="AA272">
        <f>IFERROR(Z272 / Y272, 0)</f>
        <v>0.38758500112797706</v>
      </c>
      <c r="AB272" t="str">
        <f>TEXT(C272, "mmmm")</f>
        <v>January</v>
      </c>
      <c r="AC272">
        <f>YEAR(C272)</f>
        <v>2024</v>
      </c>
      <c r="AD272" t="str">
        <f>IF(X272&lt;0, "Invalid: Ship Date Before Order Date", IF(W272&lt;0, "Invalid: Negative Discount", IF(W272&gt;0.5, "Invalid: Exceeds Allowed Discount", "OK")))</f>
        <v>OK</v>
      </c>
    </row>
    <row r="273" spans="1:30">
      <c r="A273" t="s">
        <v>1403</v>
      </c>
      <c r="B273" t="str">
        <f t="shared" si="4"/>
        <v>Unique</v>
      </c>
      <c r="C273" s="3">
        <v>45647</v>
      </c>
      <c r="D273" s="3">
        <v>45651</v>
      </c>
      <c r="E273" t="s">
        <v>1406</v>
      </c>
      <c r="F273" t="s">
        <v>107</v>
      </c>
      <c r="G273" t="s">
        <v>26</v>
      </c>
      <c r="H273" t="s">
        <v>62</v>
      </c>
      <c r="I273" t="s">
        <v>63</v>
      </c>
      <c r="J273" t="s">
        <v>64</v>
      </c>
      <c r="K273" t="s">
        <v>30</v>
      </c>
      <c r="L273" t="s">
        <v>198</v>
      </c>
      <c r="M273" t="s">
        <v>1407</v>
      </c>
      <c r="N273" t="s">
        <v>67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200</v>
      </c>
      <c r="V273" t="s">
        <v>78</v>
      </c>
      <c r="W273">
        <f>IF(ISBLANK(Q273), 0, IFERROR(VALUE(Q273), 0.7))</f>
        <v>0</v>
      </c>
      <c r="X273">
        <f>D273 - C273</f>
        <v>4</v>
      </c>
      <c r="Y273">
        <f>O273 * P273 * (1 - W273)</f>
        <v>11674.25</v>
      </c>
      <c r="Z273">
        <f>Y273 - S273</f>
        <v>2053.0599999999995</v>
      </c>
      <c r="AA273">
        <f>IFERROR(Z273 / Y273, 0)</f>
        <v>0.17586226095894808</v>
      </c>
      <c r="AB273" t="str">
        <f>TEXT(C273, "mmmm")</f>
        <v>December</v>
      </c>
      <c r="AC273">
        <f>YEAR(C273)</f>
        <v>2024</v>
      </c>
      <c r="AD273" t="str">
        <f>IF(X273&lt;0, "Invalid: Ship Date Before Order Date", IF(W273&lt;0, "Invalid: Negative Discount", IF(W273&gt;0.5, "Invalid: Exceeds Allowed Discount", "OK")))</f>
        <v>OK</v>
      </c>
    </row>
    <row r="274" spans="1:30">
      <c r="A274" t="s">
        <v>1408</v>
      </c>
      <c r="B274" t="str">
        <f t="shared" si="4"/>
        <v>Review: Duplicate Order ID</v>
      </c>
      <c r="C274" s="3">
        <v>45522</v>
      </c>
      <c r="D274" s="3">
        <v>45528</v>
      </c>
      <c r="E274" t="s">
        <v>1411</v>
      </c>
      <c r="F274" t="s">
        <v>61</v>
      </c>
      <c r="G274" t="s">
        <v>26</v>
      </c>
      <c r="H274" t="s">
        <v>62</v>
      </c>
      <c r="I274" t="s">
        <v>100</v>
      </c>
      <c r="J274" t="s">
        <v>101</v>
      </c>
      <c r="K274" t="s">
        <v>45</v>
      </c>
      <c r="L274" t="s">
        <v>76</v>
      </c>
      <c r="M274" t="s">
        <v>1412</v>
      </c>
      <c r="N274" t="s">
        <v>56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34</v>
      </c>
      <c r="V274" t="s">
        <v>35</v>
      </c>
      <c r="W274">
        <f>IF(ISBLANK(Q274), 0, IFERROR(VALUE(Q274), 0.7))</f>
        <v>0.1</v>
      </c>
      <c r="X274">
        <f>D274 - C274</f>
        <v>6</v>
      </c>
      <c r="Y274">
        <f>O274 * P274 * (1 - W274)</f>
        <v>3510.4230000000002</v>
      </c>
      <c r="Z274">
        <f>Y274 - S274</f>
        <v>1318.9230000000002</v>
      </c>
      <c r="AA274">
        <f>IFERROR(Z274 / Y274, 0)</f>
        <v>0.37571625983535323</v>
      </c>
      <c r="AB274" t="str">
        <f>TEXT(C274, "mmmm")</f>
        <v>August</v>
      </c>
      <c r="AC274">
        <f>YEAR(C274)</f>
        <v>2024</v>
      </c>
      <c r="AD274" t="str">
        <f>IF(X274&lt;0, "Invalid: Ship Date Before Order Date", IF(W274&lt;0, "Invalid: Negative Discount", IF(W274&gt;0.5, "Invalid: Exceeds Allowed Discount", "OK")))</f>
        <v>OK</v>
      </c>
    </row>
    <row r="275" spans="1:30">
      <c r="A275" t="s">
        <v>1413</v>
      </c>
      <c r="B275" t="str">
        <f t="shared" si="4"/>
        <v>Unique</v>
      </c>
      <c r="C275" s="3">
        <v>45701</v>
      </c>
      <c r="D275" s="3">
        <v>45701</v>
      </c>
      <c r="E275" t="s">
        <v>1416</v>
      </c>
      <c r="F275" t="s">
        <v>53</v>
      </c>
      <c r="G275" t="s">
        <v>26</v>
      </c>
      <c r="H275" t="s">
        <v>42</v>
      </c>
      <c r="I275" t="s">
        <v>186</v>
      </c>
      <c r="J275" t="s">
        <v>187</v>
      </c>
      <c r="K275" t="s">
        <v>30</v>
      </c>
      <c r="L275" t="s">
        <v>31</v>
      </c>
      <c r="M275" t="s">
        <v>1417</v>
      </c>
      <c r="N275" t="s">
        <v>33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34</v>
      </c>
      <c r="V275" t="s">
        <v>125</v>
      </c>
      <c r="W275">
        <f>IF(ISBLANK(Q275), 0, IFERROR(VALUE(Q275), 0.7))</f>
        <v>0</v>
      </c>
      <c r="X275">
        <f>D275 - C275</f>
        <v>0</v>
      </c>
      <c r="Y275">
        <f>O275 * P275 * (1 - W275)</f>
        <v>22694.670000000002</v>
      </c>
      <c r="Z275">
        <f>Y275 - S275</f>
        <v>7289.3100000000013</v>
      </c>
      <c r="AA275">
        <f>IFERROR(Z275 / Y275, 0)</f>
        <v>0.32119039404406413</v>
      </c>
      <c r="AB275" t="str">
        <f>TEXT(C275, "mmmm")</f>
        <v>February</v>
      </c>
      <c r="AC275">
        <f>YEAR(C275)</f>
        <v>2025</v>
      </c>
      <c r="AD275" t="str">
        <f>IF(X275&lt;0, "Invalid: Ship Date Before Order Date", IF(W275&lt;0, "Invalid: Negative Discount", IF(W275&gt;0.5, "Invalid: Exceeds Allowed Discount", "OK")))</f>
        <v>OK</v>
      </c>
    </row>
    <row r="276" spans="1:30">
      <c r="A276" t="s">
        <v>1418</v>
      </c>
      <c r="B276" t="str">
        <f t="shared" si="4"/>
        <v>Unique</v>
      </c>
      <c r="C276" s="3">
        <v>45477</v>
      </c>
      <c r="D276" s="3">
        <v>45396</v>
      </c>
      <c r="E276" t="s">
        <v>1421</v>
      </c>
      <c r="F276" t="s">
        <v>180</v>
      </c>
      <c r="G276" t="s">
        <v>26</v>
      </c>
      <c r="H276" t="s">
        <v>62</v>
      </c>
      <c r="I276" t="s">
        <v>242</v>
      </c>
      <c r="J276" t="s">
        <v>243</v>
      </c>
      <c r="K276" t="s">
        <v>86</v>
      </c>
      <c r="L276" t="s">
        <v>94</v>
      </c>
      <c r="M276" t="s">
        <v>1422</v>
      </c>
      <c r="N276" t="s">
        <v>67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200</v>
      </c>
      <c r="V276" t="s">
        <v>125</v>
      </c>
      <c r="W276">
        <f>IF(ISBLANK(Q276), 0, IFERROR(VALUE(Q276), 0.7))</f>
        <v>0.15</v>
      </c>
      <c r="X276">
        <f>D276 - C276</f>
        <v>-81</v>
      </c>
      <c r="Y276">
        <f>O276 * P276 * (1 - W276)</f>
        <v>21658.221000000001</v>
      </c>
      <c r="Z276">
        <f>Y276 - S276</f>
        <v>6167.5310000000009</v>
      </c>
      <c r="AA276">
        <f>IFERROR(Z276 / Y276, 0)</f>
        <v>0.28476627881856043</v>
      </c>
      <c r="AB276" t="str">
        <f>TEXT(C276, "mmmm")</f>
        <v>July</v>
      </c>
      <c r="AC276">
        <f>YEAR(C276)</f>
        <v>2024</v>
      </c>
      <c r="AD276" t="str">
        <f>IF(X276&lt;0, "Invalid: Ship Date Before Order Date", IF(W276&lt;0, "Invalid: Negative Discount", IF(W276&gt;0.5, "Invalid: Exceeds Allowed Discount", "OK")))</f>
        <v>Invalid: Ship Date Before Order Date</v>
      </c>
    </row>
    <row r="277" spans="1:30">
      <c r="A277" t="s">
        <v>1423</v>
      </c>
      <c r="B277" t="str">
        <f t="shared" si="4"/>
        <v>Unique</v>
      </c>
      <c r="C277" s="3">
        <v>45337</v>
      </c>
      <c r="D277" s="3">
        <v>45344</v>
      </c>
      <c r="E277" t="s">
        <v>1425</v>
      </c>
      <c r="F277" t="s">
        <v>142</v>
      </c>
      <c r="G277" t="s">
        <v>41</v>
      </c>
      <c r="H277" t="s">
        <v>42</v>
      </c>
      <c r="I277" t="s">
        <v>121</v>
      </c>
      <c r="J277" t="s">
        <v>122</v>
      </c>
      <c r="K277" t="s">
        <v>45</v>
      </c>
      <c r="L277" t="s">
        <v>65</v>
      </c>
      <c r="M277" t="s">
        <v>1426</v>
      </c>
      <c r="N277" t="s">
        <v>48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34</v>
      </c>
      <c r="V277" t="s">
        <v>35</v>
      </c>
      <c r="W277">
        <f>IF(ISBLANK(Q277), 0, IFERROR(VALUE(Q277), 0.7))</f>
        <v>0</v>
      </c>
      <c r="X277">
        <f>D277 - C277</f>
        <v>7</v>
      </c>
      <c r="Y277">
        <f>O277 * P277 * (1 - W277)</f>
        <v>980.51</v>
      </c>
      <c r="Z277">
        <f>Y277 - S277</f>
        <v>319.59000000000003</v>
      </c>
      <c r="AA277">
        <f>IFERROR(Z277 / Y277, 0)</f>
        <v>0.32594262169687205</v>
      </c>
      <c r="AB277" t="str">
        <f>TEXT(C277, "mmmm")</f>
        <v>February</v>
      </c>
      <c r="AC277">
        <f>YEAR(C277)</f>
        <v>2024</v>
      </c>
      <c r="AD277" t="str">
        <f>IF(X277&lt;0, "Invalid: Ship Date Before Order Date", IF(W277&lt;0, "Invalid: Negative Discount", IF(W277&gt;0.5, "Invalid: Exceeds Allowed Discount", "OK")))</f>
        <v>OK</v>
      </c>
    </row>
    <row r="278" spans="1:30">
      <c r="A278" t="s">
        <v>1427</v>
      </c>
      <c r="B278" t="str">
        <f t="shared" si="4"/>
        <v>Unique</v>
      </c>
      <c r="C278" s="3">
        <v>45313</v>
      </c>
      <c r="D278" s="3">
        <v>45314</v>
      </c>
      <c r="E278" t="s">
        <v>1429</v>
      </c>
      <c r="F278" t="s">
        <v>162</v>
      </c>
      <c r="G278" t="s">
        <v>41</v>
      </c>
      <c r="H278" t="s">
        <v>4110</v>
      </c>
      <c r="I278" t="s">
        <v>216</v>
      </c>
      <c r="J278" t="s">
        <v>217</v>
      </c>
      <c r="K278" t="s">
        <v>45</v>
      </c>
      <c r="L278" t="s">
        <v>76</v>
      </c>
      <c r="M278" t="s">
        <v>1430</v>
      </c>
      <c r="N278" t="s">
        <v>33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34</v>
      </c>
      <c r="V278" t="s">
        <v>35</v>
      </c>
      <c r="W278">
        <f>IF(ISBLANK(Q278), 0, IFERROR(VALUE(Q278), 0.7))</f>
        <v>-0.14000000000000001</v>
      </c>
      <c r="X278">
        <f>D278 - C278</f>
        <v>1</v>
      </c>
      <c r="Y278">
        <f>O278 * P278 * (1 - W278)</f>
        <v>23198.065200000005</v>
      </c>
      <c r="Z278">
        <f>Y278 - S278</f>
        <v>14784.535200000004</v>
      </c>
      <c r="AA278">
        <f>IFERROR(Z278 / Y278, 0)</f>
        <v>0.63731759836591895</v>
      </c>
      <c r="AB278" t="str">
        <f>TEXT(C278, "mmmm")</f>
        <v>January</v>
      </c>
      <c r="AC278">
        <f>YEAR(C278)</f>
        <v>2024</v>
      </c>
      <c r="AD278" t="str">
        <f>IF(X278&lt;0, "Invalid: Ship Date Before Order Date", IF(W278&lt;0, "Invalid: Negative Discount", IF(W278&gt;0.5, "Invalid: Exceeds Allowed Discount", "OK")))</f>
        <v>Invalid: Negative Discount</v>
      </c>
    </row>
    <row r="279" spans="1:30">
      <c r="A279" t="s">
        <v>1431</v>
      </c>
      <c r="B279" t="str">
        <f t="shared" si="4"/>
        <v>Unique</v>
      </c>
      <c r="C279" s="3">
        <v>45812</v>
      </c>
      <c r="D279" s="3">
        <v>45812</v>
      </c>
      <c r="E279" t="s">
        <v>1206</v>
      </c>
      <c r="F279" t="s">
        <v>53</v>
      </c>
      <c r="G279" t="s">
        <v>108</v>
      </c>
      <c r="H279" t="s">
        <v>27</v>
      </c>
      <c r="I279" t="s">
        <v>323</v>
      </c>
      <c r="J279" t="s">
        <v>324</v>
      </c>
      <c r="K279" t="s">
        <v>86</v>
      </c>
      <c r="L279" t="s">
        <v>87</v>
      </c>
      <c r="M279" t="s">
        <v>1433</v>
      </c>
      <c r="N279" t="s">
        <v>33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137</v>
      </c>
      <c r="V279" t="s">
        <v>78</v>
      </c>
      <c r="W279">
        <f>IF(ISBLANK(Q279), 0, IFERROR(VALUE(Q279), 0.7))</f>
        <v>0.15</v>
      </c>
      <c r="X279">
        <f>D279 - C279</f>
        <v>0</v>
      </c>
      <c r="Y279">
        <f>O279 * P279 * (1 - W279)</f>
        <v>1813.6704999999999</v>
      </c>
      <c r="Z279">
        <f>Y279 - S279</f>
        <v>811.1004999999999</v>
      </c>
      <c r="AA279">
        <f>IFERROR(Z279 / Y279, 0)</f>
        <v>0.4472149158295291</v>
      </c>
      <c r="AB279" t="str">
        <f>TEXT(C279, "mmmm")</f>
        <v>June</v>
      </c>
      <c r="AC279">
        <f>YEAR(C279)</f>
        <v>2025</v>
      </c>
      <c r="AD279" t="str">
        <f>IF(X279&lt;0, "Invalid: Ship Date Before Order Date", IF(W279&lt;0, "Invalid: Negative Discount", IF(W279&gt;0.5, "Invalid: Exceeds Allowed Discount", "OK")))</f>
        <v>OK</v>
      </c>
    </row>
    <row r="280" spans="1:30">
      <c r="A280" t="s">
        <v>1434</v>
      </c>
      <c r="B280" t="str">
        <f t="shared" si="4"/>
        <v>Unique</v>
      </c>
      <c r="C280" s="3">
        <v>45841</v>
      </c>
      <c r="D280" s="3">
        <v>45730</v>
      </c>
      <c r="E280" t="s">
        <v>1436</v>
      </c>
      <c r="F280" t="s">
        <v>142</v>
      </c>
      <c r="G280" t="s">
        <v>41</v>
      </c>
      <c r="H280" t="s">
        <v>27</v>
      </c>
      <c r="I280" t="s">
        <v>506</v>
      </c>
      <c r="J280" t="s">
        <v>507</v>
      </c>
      <c r="K280" t="s">
        <v>86</v>
      </c>
      <c r="L280" t="s">
        <v>87</v>
      </c>
      <c r="M280" t="s">
        <v>1437</v>
      </c>
      <c r="N280" t="s">
        <v>48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34</v>
      </c>
      <c r="V280" t="s">
        <v>125</v>
      </c>
      <c r="W280">
        <f>IF(ISBLANK(Q280), 0, IFERROR(VALUE(Q280), 0.7))</f>
        <v>0.05</v>
      </c>
      <c r="X280">
        <f>D280 - C280</f>
        <v>-111</v>
      </c>
      <c r="Y280">
        <f>O280 * P280 * (1 - W280)</f>
        <v>3780.6579999999999</v>
      </c>
      <c r="Z280">
        <f>Y280 - S280</f>
        <v>1632.348</v>
      </c>
      <c r="AA280">
        <f>IFERROR(Z280 / Y280, 0)</f>
        <v>0.43176293650470365</v>
      </c>
      <c r="AB280" t="str">
        <f>TEXT(C280, "mmmm")</f>
        <v>July</v>
      </c>
      <c r="AC280">
        <f>YEAR(C280)</f>
        <v>2025</v>
      </c>
      <c r="AD280" t="str">
        <f>IF(X280&lt;0, "Invalid: Ship Date Before Order Date", IF(W280&lt;0, "Invalid: Negative Discount", IF(W280&gt;0.5, "Invalid: Exceeds Allowed Discount", "OK")))</f>
        <v>Invalid: Ship Date Before Order Date</v>
      </c>
    </row>
    <row r="281" spans="1:30">
      <c r="A281" t="s">
        <v>1438</v>
      </c>
      <c r="B281" t="str">
        <f t="shared" si="4"/>
        <v>Unique</v>
      </c>
      <c r="C281" s="3">
        <v>45391</v>
      </c>
      <c r="D281" s="3">
        <v>45392</v>
      </c>
      <c r="E281" t="s">
        <v>1441</v>
      </c>
      <c r="F281" t="s">
        <v>180</v>
      </c>
      <c r="G281" t="s">
        <v>41</v>
      </c>
      <c r="H281" t="s">
        <v>73</v>
      </c>
      <c r="I281" t="s">
        <v>74</v>
      </c>
      <c r="J281" t="s">
        <v>75</v>
      </c>
      <c r="K281" t="s">
        <v>30</v>
      </c>
      <c r="L281" t="s">
        <v>156</v>
      </c>
      <c r="M281" t="s">
        <v>1442</v>
      </c>
      <c r="N281" t="s">
        <v>56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34</v>
      </c>
      <c r="V281" t="s">
        <v>35</v>
      </c>
      <c r="W281">
        <f>IF(ISBLANK(Q281), 0, IFERROR(VALUE(Q281), 0.7))</f>
        <v>0.05</v>
      </c>
      <c r="X281">
        <f>D281 - C281</f>
        <v>1</v>
      </c>
      <c r="Y281">
        <f>O281 * P281 * (1 - W281)</f>
        <v>4141.1639999999998</v>
      </c>
      <c r="Z281">
        <f>Y281 - S281</f>
        <v>1386.9939999999997</v>
      </c>
      <c r="AA281">
        <f>IFERROR(Z281 / Y281, 0)</f>
        <v>0.33492853700070796</v>
      </c>
      <c r="AB281" t="str">
        <f>TEXT(C281, "mmmm")</f>
        <v>April</v>
      </c>
      <c r="AC281">
        <f>YEAR(C281)</f>
        <v>2024</v>
      </c>
      <c r="AD281" t="str">
        <f>IF(X281&lt;0, "Invalid: Ship Date Before Order Date", IF(W281&lt;0, "Invalid: Negative Discount", IF(W281&gt;0.5, "Invalid: Exceeds Allowed Discount", "OK")))</f>
        <v>OK</v>
      </c>
    </row>
    <row r="282" spans="1:30">
      <c r="A282" t="s">
        <v>1443</v>
      </c>
      <c r="B282" t="str">
        <f t="shared" si="4"/>
        <v>Unique</v>
      </c>
      <c r="C282" s="3">
        <v>45649</v>
      </c>
      <c r="D282" s="3">
        <v>45652</v>
      </c>
      <c r="E282" t="s">
        <v>1446</v>
      </c>
      <c r="F282" t="s">
        <v>107</v>
      </c>
      <c r="G282" t="s">
        <v>26</v>
      </c>
      <c r="H282" t="s">
        <v>62</v>
      </c>
      <c r="I282" t="s">
        <v>229</v>
      </c>
      <c r="J282" t="s">
        <v>230</v>
      </c>
      <c r="K282" t="s">
        <v>86</v>
      </c>
      <c r="L282" t="s">
        <v>94</v>
      </c>
      <c r="M282" t="s">
        <v>1447</v>
      </c>
      <c r="N282" t="s">
        <v>67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34</v>
      </c>
      <c r="V282" t="s">
        <v>35</v>
      </c>
      <c r="W282">
        <f>IF(ISBLANK(Q282), 0, IFERROR(VALUE(Q282), 0.7))</f>
        <v>0</v>
      </c>
      <c r="X282">
        <f>D282 - C282</f>
        <v>3</v>
      </c>
      <c r="Y282">
        <f>O282 * P282 * (1 - W282)</f>
        <v>8943.0299999999988</v>
      </c>
      <c r="Z282">
        <f>Y282 - S282</f>
        <v>3777.6499999999987</v>
      </c>
      <c r="AA282">
        <f>IFERROR(Z282 / Y282, 0)</f>
        <v>0.42241276167026154</v>
      </c>
      <c r="AB282" t="str">
        <f>TEXT(C282, "mmmm")</f>
        <v>December</v>
      </c>
      <c r="AC282">
        <f>YEAR(C282)</f>
        <v>2024</v>
      </c>
      <c r="AD282" t="str">
        <f>IF(X282&lt;0, "Invalid: Ship Date Before Order Date", IF(W282&lt;0, "Invalid: Negative Discount", IF(W282&gt;0.5, "Invalid: Exceeds Allowed Discount", "OK")))</f>
        <v>OK</v>
      </c>
    </row>
    <row r="283" spans="1:30">
      <c r="A283" t="s">
        <v>1448</v>
      </c>
      <c r="B283" t="str">
        <f t="shared" si="4"/>
        <v>Unique</v>
      </c>
      <c r="C283" s="3">
        <v>45863</v>
      </c>
      <c r="D283" s="3">
        <v>45865</v>
      </c>
      <c r="E283" t="s">
        <v>1451</v>
      </c>
      <c r="F283" t="s">
        <v>366</v>
      </c>
      <c r="G283" t="s">
        <v>26</v>
      </c>
      <c r="H283" t="s">
        <v>42</v>
      </c>
      <c r="I283" t="s">
        <v>311</v>
      </c>
      <c r="J283" t="s">
        <v>312</v>
      </c>
      <c r="K283" t="s">
        <v>30</v>
      </c>
      <c r="L283" t="s">
        <v>198</v>
      </c>
      <c r="M283" t="s">
        <v>1452</v>
      </c>
      <c r="N283" t="s">
        <v>33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34</v>
      </c>
      <c r="V283" t="s">
        <v>35</v>
      </c>
      <c r="W283">
        <f>IF(ISBLANK(Q283), 0, IFERROR(VALUE(Q283), 0.7))</f>
        <v>0.2</v>
      </c>
      <c r="X283">
        <f>D283 - C283</f>
        <v>2</v>
      </c>
      <c r="Y283">
        <f>O283 * P283 * (1 - W283)</f>
        <v>16504.223999999998</v>
      </c>
      <c r="Z283">
        <f>Y283 - S283</f>
        <v>5241.5139999999992</v>
      </c>
      <c r="AA283">
        <f>IFERROR(Z283 / Y283, 0)</f>
        <v>0.31758621308096641</v>
      </c>
      <c r="AB283" t="str">
        <f>TEXT(C283, "mmmm")</f>
        <v>July</v>
      </c>
      <c r="AC283">
        <f>YEAR(C283)</f>
        <v>2025</v>
      </c>
      <c r="AD283" t="str">
        <f>IF(X283&lt;0, "Invalid: Ship Date Before Order Date", IF(W283&lt;0, "Invalid: Negative Discount", IF(W283&gt;0.5, "Invalid: Exceeds Allowed Discount", "OK")))</f>
        <v>OK</v>
      </c>
    </row>
    <row r="284" spans="1:30">
      <c r="A284" t="s">
        <v>1453</v>
      </c>
      <c r="B284" t="str">
        <f t="shared" si="4"/>
        <v>Unique</v>
      </c>
      <c r="C284" s="3">
        <v>45566</v>
      </c>
      <c r="D284" s="3">
        <v>45567</v>
      </c>
      <c r="E284" t="s">
        <v>1456</v>
      </c>
      <c r="F284" t="s">
        <v>25</v>
      </c>
      <c r="G284" t="s">
        <v>115</v>
      </c>
      <c r="H284" t="s">
        <v>42</v>
      </c>
      <c r="I284" t="s">
        <v>216</v>
      </c>
      <c r="J284" t="s">
        <v>217</v>
      </c>
      <c r="K284" t="s">
        <v>45</v>
      </c>
      <c r="L284" t="s">
        <v>46</v>
      </c>
      <c r="M284" t="s">
        <v>1457</v>
      </c>
      <c r="N284" t="s">
        <v>33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34</v>
      </c>
      <c r="V284" t="s">
        <v>35</v>
      </c>
      <c r="W284">
        <f>IF(ISBLANK(Q284), 0, IFERROR(VALUE(Q284), 0.7))</f>
        <v>0</v>
      </c>
      <c r="X284">
        <f>D284 - C284</f>
        <v>1</v>
      </c>
      <c r="Y284">
        <f>O284 * P284 * (1 - W284)</f>
        <v>4596</v>
      </c>
      <c r="Z284">
        <f>Y284 - S284</f>
        <v>1375.67</v>
      </c>
      <c r="AA284">
        <f>IFERROR(Z284 / Y284, 0)</f>
        <v>0.29931897302001742</v>
      </c>
      <c r="AB284" t="str">
        <f>TEXT(C284, "mmmm")</f>
        <v>October</v>
      </c>
      <c r="AC284">
        <f>YEAR(C284)</f>
        <v>2024</v>
      </c>
      <c r="AD284" t="str">
        <f>IF(X284&lt;0, "Invalid: Ship Date Before Order Date", IF(W284&lt;0, "Invalid: Negative Discount", IF(W284&gt;0.5, "Invalid: Exceeds Allowed Discount", "OK")))</f>
        <v>OK</v>
      </c>
    </row>
    <row r="285" spans="1:30">
      <c r="A285" t="s">
        <v>1458</v>
      </c>
      <c r="B285" t="str">
        <f t="shared" si="4"/>
        <v>Unique</v>
      </c>
      <c r="C285" s="3">
        <v>45729</v>
      </c>
      <c r="D285" s="3">
        <v>45736</v>
      </c>
      <c r="E285" t="s">
        <v>1461</v>
      </c>
      <c r="F285" t="s">
        <v>83</v>
      </c>
      <c r="G285" t="s">
        <v>26</v>
      </c>
      <c r="H285" t="s">
        <v>73</v>
      </c>
      <c r="I285" t="s">
        <v>74</v>
      </c>
      <c r="J285" t="s">
        <v>75</v>
      </c>
      <c r="K285" t="s">
        <v>45</v>
      </c>
      <c r="L285" t="s">
        <v>65</v>
      </c>
      <c r="M285" t="s">
        <v>1462</v>
      </c>
      <c r="N285" t="s">
        <v>56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34</v>
      </c>
      <c r="V285" t="s">
        <v>35</v>
      </c>
      <c r="W285">
        <f>IF(ISBLANK(Q285), 0, IFERROR(VALUE(Q285), 0.7))</f>
        <v>0</v>
      </c>
      <c r="X285">
        <f>D285 - C285</f>
        <v>7</v>
      </c>
      <c r="Y285">
        <f>O285 * P285 * (1 - W285)</f>
        <v>1814.01</v>
      </c>
      <c r="Z285">
        <f>Y285 - S285</f>
        <v>780.54</v>
      </c>
      <c r="AA285">
        <f>IFERROR(Z285 / Y285, 0)</f>
        <v>0.43028428729720342</v>
      </c>
      <c r="AB285" t="str">
        <f>TEXT(C285, "mmmm")</f>
        <v>March</v>
      </c>
      <c r="AC285">
        <f>YEAR(C285)</f>
        <v>2025</v>
      </c>
      <c r="AD285" t="str">
        <f>IF(X285&lt;0, "Invalid: Ship Date Before Order Date", IF(W285&lt;0, "Invalid: Negative Discount", IF(W285&gt;0.5, "Invalid: Exceeds Allowed Discount", "OK")))</f>
        <v>OK</v>
      </c>
    </row>
    <row r="286" spans="1:30">
      <c r="A286" t="s">
        <v>1463</v>
      </c>
      <c r="B286" t="str">
        <f t="shared" si="4"/>
        <v>Unique</v>
      </c>
      <c r="C286" s="3">
        <v>45634</v>
      </c>
      <c r="D286" s="3">
        <v>45640</v>
      </c>
      <c r="E286" t="s">
        <v>1466</v>
      </c>
      <c r="F286" t="s">
        <v>25</v>
      </c>
      <c r="G286" t="s">
        <v>26</v>
      </c>
      <c r="H286" t="s">
        <v>42</v>
      </c>
      <c r="I286" t="s">
        <v>43</v>
      </c>
      <c r="J286" t="s">
        <v>44</v>
      </c>
      <c r="K286" t="s">
        <v>45</v>
      </c>
      <c r="L286" t="s">
        <v>46</v>
      </c>
      <c r="M286" t="s">
        <v>1467</v>
      </c>
      <c r="N286" t="s">
        <v>48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34</v>
      </c>
      <c r="V286" t="s">
        <v>125</v>
      </c>
      <c r="W286">
        <f>IF(ISBLANK(Q286), 0, IFERROR(VALUE(Q286), 0.7))</f>
        <v>0</v>
      </c>
      <c r="X286">
        <f>D286 - C286</f>
        <v>6</v>
      </c>
      <c r="Y286">
        <f>O286 * P286 * (1 - W286)</f>
        <v>4730.76</v>
      </c>
      <c r="Z286">
        <f>Y286 - S286</f>
        <v>1591.0300000000002</v>
      </c>
      <c r="AA286">
        <f>IFERROR(Z286 / Y286, 0)</f>
        <v>0.33631594077907145</v>
      </c>
      <c r="AB286" t="str">
        <f>TEXT(C286, "mmmm")</f>
        <v>December</v>
      </c>
      <c r="AC286">
        <f>YEAR(C286)</f>
        <v>2024</v>
      </c>
      <c r="AD286" t="str">
        <f>IF(X286&lt;0, "Invalid: Ship Date Before Order Date", IF(W286&lt;0, "Invalid: Negative Discount", IF(W286&gt;0.5, "Invalid: Exceeds Allowed Discount", "OK")))</f>
        <v>OK</v>
      </c>
    </row>
    <row r="287" spans="1:30">
      <c r="A287" t="s">
        <v>1468</v>
      </c>
      <c r="B287" t="str">
        <f t="shared" si="4"/>
        <v>Unique</v>
      </c>
      <c r="C287" s="3">
        <v>45884</v>
      </c>
      <c r="D287" s="3">
        <v>45889</v>
      </c>
      <c r="E287" t="s">
        <v>1471</v>
      </c>
      <c r="F287" t="s">
        <v>93</v>
      </c>
      <c r="G287" t="s">
        <v>115</v>
      </c>
      <c r="H287" t="s">
        <v>27</v>
      </c>
      <c r="I287" t="s">
        <v>28</v>
      </c>
      <c r="J287" t="s">
        <v>29</v>
      </c>
      <c r="K287" t="s">
        <v>30</v>
      </c>
      <c r="L287" t="s">
        <v>156</v>
      </c>
      <c r="M287" t="s">
        <v>1472</v>
      </c>
      <c r="N287" t="s">
        <v>67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34</v>
      </c>
      <c r="V287" t="s">
        <v>35</v>
      </c>
      <c r="W287">
        <f>IF(ISBLANK(Q287), 0, IFERROR(VALUE(Q287), 0.7))</f>
        <v>0</v>
      </c>
      <c r="X287">
        <f>D287 - C287</f>
        <v>5</v>
      </c>
      <c r="Y287">
        <f>O287 * P287 * (1 - W287)</f>
        <v>36735.93</v>
      </c>
      <c r="Z287">
        <f>Y287 - S287</f>
        <v>5915.09</v>
      </c>
      <c r="AA287">
        <f>IFERROR(Z287 / Y287, 0)</f>
        <v>0.16101647624001897</v>
      </c>
      <c r="AB287" t="str">
        <f>TEXT(C287, "mmmm")</f>
        <v>August</v>
      </c>
      <c r="AC287">
        <f>YEAR(C287)</f>
        <v>2025</v>
      </c>
      <c r="AD287" t="str">
        <f>IF(X287&lt;0, "Invalid: Ship Date Before Order Date", IF(W287&lt;0, "Invalid: Negative Discount", IF(W287&gt;0.5, "Invalid: Exceeds Allowed Discount", "OK")))</f>
        <v>OK</v>
      </c>
    </row>
    <row r="288" spans="1:30">
      <c r="A288" t="s">
        <v>1473</v>
      </c>
      <c r="B288" t="str">
        <f t="shared" si="4"/>
        <v>Unique</v>
      </c>
      <c r="C288" s="3">
        <v>45350</v>
      </c>
      <c r="D288" s="3">
        <v>45353</v>
      </c>
      <c r="E288" t="s">
        <v>1476</v>
      </c>
      <c r="F288" t="s">
        <v>142</v>
      </c>
      <c r="G288" t="s">
        <v>41</v>
      </c>
      <c r="H288" t="s">
        <v>27</v>
      </c>
      <c r="I288" t="s">
        <v>506</v>
      </c>
      <c r="J288" t="s">
        <v>507</v>
      </c>
      <c r="K288" t="s">
        <v>45</v>
      </c>
      <c r="L288" t="s">
        <v>65</v>
      </c>
      <c r="M288" t="s">
        <v>1477</v>
      </c>
      <c r="N288" t="s">
        <v>56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137</v>
      </c>
      <c r="V288" t="s">
        <v>125</v>
      </c>
      <c r="W288">
        <f>IF(ISBLANK(Q288), 0, IFERROR(VALUE(Q288), 0.7))</f>
        <v>0.1</v>
      </c>
      <c r="X288">
        <f>D288 - C288</f>
        <v>3</v>
      </c>
      <c r="Y288">
        <f>O288 * P288 * (1 - W288)</f>
        <v>4421.3399999999992</v>
      </c>
      <c r="Z288">
        <f>Y288 - S288</f>
        <v>1931.3599999999992</v>
      </c>
      <c r="AA288">
        <f>IFERROR(Z288 / Y288, 0)</f>
        <v>0.43682684435035524</v>
      </c>
      <c r="AB288" t="str">
        <f>TEXT(C288, "mmmm")</f>
        <v>February</v>
      </c>
      <c r="AC288">
        <f>YEAR(C288)</f>
        <v>2024</v>
      </c>
      <c r="AD288" t="str">
        <f>IF(X288&lt;0, "Invalid: Ship Date Before Order Date", IF(W288&lt;0, "Invalid: Negative Discount", IF(W288&gt;0.5, "Invalid: Exceeds Allowed Discount", "OK")))</f>
        <v>OK</v>
      </c>
    </row>
    <row r="289" spans="1:30">
      <c r="A289" t="s">
        <v>1478</v>
      </c>
      <c r="B289" t="str">
        <f t="shared" si="4"/>
        <v>Unique</v>
      </c>
      <c r="C289" s="3">
        <v>45540</v>
      </c>
      <c r="D289" s="3">
        <v>45482</v>
      </c>
      <c r="E289" t="s">
        <v>1481</v>
      </c>
      <c r="F289" t="s">
        <v>93</v>
      </c>
      <c r="G289" t="s">
        <v>41</v>
      </c>
      <c r="H289" t="s">
        <v>62</v>
      </c>
      <c r="I289" t="s">
        <v>339</v>
      </c>
      <c r="J289" t="s">
        <v>340</v>
      </c>
      <c r="K289" t="s">
        <v>86</v>
      </c>
      <c r="L289" t="s">
        <v>94</v>
      </c>
      <c r="M289" t="s">
        <v>1482</v>
      </c>
      <c r="N289" t="s">
        <v>67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34</v>
      </c>
      <c r="V289" t="s">
        <v>78</v>
      </c>
      <c r="W289">
        <f>IF(ISBLANK(Q289), 0, IFERROR(VALUE(Q289), 0.7))</f>
        <v>0.15</v>
      </c>
      <c r="X289">
        <f>D289 - C289</f>
        <v>-58</v>
      </c>
      <c r="Y289">
        <f>O289 * P289 * (1 - W289)</f>
        <v>6516.9329999999991</v>
      </c>
      <c r="Z289">
        <f>Y289 - S289</f>
        <v>2005.3929999999991</v>
      </c>
      <c r="AA289">
        <f>IFERROR(Z289 / Y289, 0)</f>
        <v>0.30772036477895343</v>
      </c>
      <c r="AB289" t="str">
        <f>TEXT(C289, "mmmm")</f>
        <v>September</v>
      </c>
      <c r="AC289">
        <f>YEAR(C289)</f>
        <v>2024</v>
      </c>
      <c r="AD289" t="str">
        <f>IF(X289&lt;0, "Invalid: Ship Date Before Order Date", IF(W289&lt;0, "Invalid: Negative Discount", IF(W289&gt;0.5, "Invalid: Exceeds Allowed Discount", "OK")))</f>
        <v>Invalid: Ship Date Before Order Date</v>
      </c>
    </row>
    <row r="290" spans="1:30">
      <c r="A290" t="s">
        <v>1483</v>
      </c>
      <c r="B290" t="str">
        <f t="shared" si="4"/>
        <v>Unique</v>
      </c>
      <c r="C290" s="3">
        <v>45467</v>
      </c>
      <c r="D290" s="3">
        <v>45467</v>
      </c>
      <c r="E290" t="s">
        <v>1485</v>
      </c>
      <c r="F290" t="s">
        <v>180</v>
      </c>
      <c r="G290" t="s">
        <v>41</v>
      </c>
      <c r="H290" t="s">
        <v>42</v>
      </c>
      <c r="I290" t="s">
        <v>186</v>
      </c>
      <c r="J290" t="s">
        <v>187</v>
      </c>
      <c r="K290" t="s">
        <v>30</v>
      </c>
      <c r="L290" t="s">
        <v>198</v>
      </c>
      <c r="M290" t="s">
        <v>1486</v>
      </c>
      <c r="N290" t="s">
        <v>48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34</v>
      </c>
      <c r="V290" t="s">
        <v>35</v>
      </c>
      <c r="W290">
        <f>IF(ISBLANK(Q290), 0, IFERROR(VALUE(Q290), 0.7))</f>
        <v>0.15</v>
      </c>
      <c r="X290">
        <f>D290 - C290</f>
        <v>0</v>
      </c>
      <c r="Y290">
        <f>O290 * P290 * (1 - W290)</f>
        <v>7411.829999999999</v>
      </c>
      <c r="Z290">
        <f>Y290 - S290</f>
        <v>2507.1999999999989</v>
      </c>
      <c r="AA290">
        <f>IFERROR(Z290 / Y290, 0)</f>
        <v>0.3382700358750807</v>
      </c>
      <c r="AB290" t="str">
        <f>TEXT(C290, "mmmm")</f>
        <v>June</v>
      </c>
      <c r="AC290">
        <f>YEAR(C290)</f>
        <v>2024</v>
      </c>
      <c r="AD290" t="str">
        <f>IF(X290&lt;0, "Invalid: Ship Date Before Order Date", IF(W290&lt;0, "Invalid: Negative Discount", IF(W290&gt;0.5, "Invalid: Exceeds Allowed Discount", "OK")))</f>
        <v>OK</v>
      </c>
    </row>
    <row r="291" spans="1:30">
      <c r="A291" t="s">
        <v>1487</v>
      </c>
      <c r="B291" t="str">
        <f t="shared" si="4"/>
        <v>Unique</v>
      </c>
      <c r="C291" s="3">
        <v>45827</v>
      </c>
      <c r="D291" s="3">
        <v>45835</v>
      </c>
      <c r="E291" t="s">
        <v>1488</v>
      </c>
      <c r="F291" t="s">
        <v>25</v>
      </c>
      <c r="G291" t="s">
        <v>115</v>
      </c>
      <c r="H291" t="s">
        <v>62</v>
      </c>
      <c r="I291" t="s">
        <v>339</v>
      </c>
      <c r="J291" t="s">
        <v>340</v>
      </c>
      <c r="K291" t="s">
        <v>45</v>
      </c>
      <c r="L291" t="s">
        <v>204</v>
      </c>
      <c r="M291" t="s">
        <v>1489</v>
      </c>
      <c r="N291" t="s">
        <v>56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34</v>
      </c>
      <c r="V291" t="s">
        <v>35</v>
      </c>
      <c r="W291">
        <f>IF(ISBLANK(Q291), 0, IFERROR(VALUE(Q291), 0.7))</f>
        <v>0.05</v>
      </c>
      <c r="X291">
        <f>D291 - C291</f>
        <v>8</v>
      </c>
      <c r="Y291">
        <f>O291 * P291 * (1 - W291)</f>
        <v>8258.7109999999993</v>
      </c>
      <c r="Z291">
        <f>Y291 - S291</f>
        <v>1239.7409999999991</v>
      </c>
      <c r="AA291">
        <f>IFERROR(Z291 / Y291, 0)</f>
        <v>0.15011313508851432</v>
      </c>
      <c r="AB291" t="str">
        <f>TEXT(C291, "mmmm")</f>
        <v>June</v>
      </c>
      <c r="AC291">
        <f>YEAR(C291)</f>
        <v>2025</v>
      </c>
      <c r="AD291" t="str">
        <f>IF(X291&lt;0, "Invalid: Ship Date Before Order Date", IF(W291&lt;0, "Invalid: Negative Discount", IF(W291&gt;0.5, "Invalid: Exceeds Allowed Discount", "OK")))</f>
        <v>OK</v>
      </c>
    </row>
    <row r="292" spans="1:30">
      <c r="A292" t="s">
        <v>1490</v>
      </c>
      <c r="B292" t="str">
        <f t="shared" si="4"/>
        <v>Unique</v>
      </c>
      <c r="C292" s="3">
        <v>45891</v>
      </c>
      <c r="D292" s="3">
        <v>45895</v>
      </c>
      <c r="E292" t="s">
        <v>1493</v>
      </c>
      <c r="F292" t="s">
        <v>210</v>
      </c>
      <c r="G292" t="s">
        <v>115</v>
      </c>
      <c r="H292" t="s">
        <v>42</v>
      </c>
      <c r="I292" t="s">
        <v>311</v>
      </c>
      <c r="J292" t="s">
        <v>312</v>
      </c>
      <c r="K292" t="s">
        <v>45</v>
      </c>
      <c r="L292" t="s">
        <v>46</v>
      </c>
      <c r="M292" t="s">
        <v>1494</v>
      </c>
      <c r="N292" t="s">
        <v>67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34</v>
      </c>
      <c r="V292" t="s">
        <v>35</v>
      </c>
      <c r="W292">
        <f>IF(ISBLANK(Q292), 0, IFERROR(VALUE(Q292), 0.7))</f>
        <v>0.1</v>
      </c>
      <c r="X292">
        <f>D292 - C292</f>
        <v>4</v>
      </c>
      <c r="Y292">
        <f>O292 * P292 * (1 - W292)</f>
        <v>1658.3670000000002</v>
      </c>
      <c r="Z292">
        <f>Y292 - S292</f>
        <v>687.24700000000018</v>
      </c>
      <c r="AA292">
        <f>IFERROR(Z292 / Y292, 0)</f>
        <v>0.41441188832146331</v>
      </c>
      <c r="AB292" t="str">
        <f>TEXT(C292, "mmmm")</f>
        <v>August</v>
      </c>
      <c r="AC292">
        <f>YEAR(C292)</f>
        <v>2025</v>
      </c>
      <c r="AD292" t="str">
        <f>IF(X292&lt;0, "Invalid: Ship Date Before Order Date", IF(W292&lt;0, "Invalid: Negative Discount", IF(W292&gt;0.5, "Invalid: Exceeds Allowed Discount", "OK")))</f>
        <v>OK</v>
      </c>
    </row>
    <row r="293" spans="1:30">
      <c r="A293" t="s">
        <v>1495</v>
      </c>
      <c r="B293" t="str">
        <f t="shared" si="4"/>
        <v>Unique</v>
      </c>
      <c r="C293" s="3">
        <v>45387</v>
      </c>
      <c r="D293" s="3">
        <v>45392</v>
      </c>
      <c r="E293" t="s">
        <v>1498</v>
      </c>
      <c r="F293" t="s">
        <v>142</v>
      </c>
      <c r="G293" t="s">
        <v>115</v>
      </c>
      <c r="H293" t="s">
        <v>27</v>
      </c>
      <c r="I293" t="s">
        <v>28</v>
      </c>
      <c r="J293" t="s">
        <v>29</v>
      </c>
      <c r="K293" t="s">
        <v>30</v>
      </c>
      <c r="L293" t="s">
        <v>198</v>
      </c>
      <c r="M293" t="s">
        <v>1499</v>
      </c>
      <c r="N293" t="s">
        <v>67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34</v>
      </c>
      <c r="V293" t="s">
        <v>35</v>
      </c>
      <c r="W293">
        <f>IF(ISBLANK(Q293), 0, IFERROR(VALUE(Q293), 0.7))</f>
        <v>0.25</v>
      </c>
      <c r="X293">
        <f>D293 - C293</f>
        <v>5</v>
      </c>
      <c r="Y293">
        <f>O293 * P293 * (1 - W293)</f>
        <v>9685.98</v>
      </c>
      <c r="Z293">
        <f>Y293 - S293</f>
        <v>1955.9399999999996</v>
      </c>
      <c r="AA293">
        <f>IFERROR(Z293 / Y293, 0)</f>
        <v>0.20193516815025425</v>
      </c>
      <c r="AB293" t="str">
        <f>TEXT(C293, "mmmm")</f>
        <v>April</v>
      </c>
      <c r="AC293">
        <f>YEAR(C293)</f>
        <v>2024</v>
      </c>
      <c r="AD293" t="str">
        <f>IF(X293&lt;0, "Invalid: Ship Date Before Order Date", IF(W293&lt;0, "Invalid: Negative Discount", IF(W293&gt;0.5, "Invalid: Exceeds Allowed Discount", "OK")))</f>
        <v>OK</v>
      </c>
    </row>
    <row r="294" spans="1:30">
      <c r="A294" t="s">
        <v>1500</v>
      </c>
      <c r="B294" t="str">
        <f t="shared" si="4"/>
        <v>Unique</v>
      </c>
      <c r="C294" s="3">
        <v>45716</v>
      </c>
      <c r="D294" s="3">
        <v>45719</v>
      </c>
      <c r="E294" t="s">
        <v>1503</v>
      </c>
      <c r="F294" t="s">
        <v>366</v>
      </c>
      <c r="G294" t="s">
        <v>115</v>
      </c>
      <c r="H294" t="s">
        <v>27</v>
      </c>
      <c r="I294" t="s">
        <v>323</v>
      </c>
      <c r="J294" t="s">
        <v>324</v>
      </c>
      <c r="K294" t="s">
        <v>30</v>
      </c>
      <c r="L294" t="s">
        <v>54</v>
      </c>
      <c r="M294" t="s">
        <v>1504</v>
      </c>
      <c r="N294" t="s">
        <v>48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137</v>
      </c>
      <c r="V294" t="s">
        <v>78</v>
      </c>
      <c r="W294">
        <f>IF(ISBLANK(Q294), 0, IFERROR(VALUE(Q294), 0.7))</f>
        <v>0</v>
      </c>
      <c r="X294">
        <f>D294 - C294</f>
        <v>3</v>
      </c>
      <c r="Y294">
        <f>O294 * P294 * (1 - W294)</f>
        <v>33740.549999999996</v>
      </c>
      <c r="Z294">
        <f>Y294 - S294</f>
        <v>9118.6599999999962</v>
      </c>
      <c r="AA294">
        <f>IFERROR(Z294 / Y294, 0)</f>
        <v>0.2702581908119458</v>
      </c>
      <c r="AB294" t="str">
        <f>TEXT(C294, "mmmm")</f>
        <v>February</v>
      </c>
      <c r="AC294">
        <f>YEAR(C294)</f>
        <v>2025</v>
      </c>
      <c r="AD294" t="str">
        <f>IF(X294&lt;0, "Invalid: Ship Date Before Order Date", IF(W294&lt;0, "Invalid: Negative Discount", IF(W294&gt;0.5, "Invalid: Exceeds Allowed Discount", "OK")))</f>
        <v>OK</v>
      </c>
    </row>
    <row r="295" spans="1:30">
      <c r="A295" t="s">
        <v>1505</v>
      </c>
      <c r="B295" t="str">
        <f t="shared" si="4"/>
        <v>Unique</v>
      </c>
      <c r="C295" s="3">
        <v>45358</v>
      </c>
      <c r="D295" s="3">
        <v>45599</v>
      </c>
      <c r="E295" t="s">
        <v>1508</v>
      </c>
      <c r="F295" t="s">
        <v>61</v>
      </c>
      <c r="G295" t="s">
        <v>115</v>
      </c>
      <c r="H295" t="s">
        <v>62</v>
      </c>
      <c r="I295" t="s">
        <v>63</v>
      </c>
      <c r="J295" t="s">
        <v>64</v>
      </c>
      <c r="K295" t="s">
        <v>86</v>
      </c>
      <c r="L295" t="s">
        <v>223</v>
      </c>
      <c r="M295" t="s">
        <v>1509</v>
      </c>
      <c r="N295" t="s">
        <v>56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34</v>
      </c>
      <c r="V295" t="s">
        <v>35</v>
      </c>
      <c r="W295">
        <f>IF(ISBLANK(Q295), 0, IFERROR(VALUE(Q295), 0.7))</f>
        <v>0.65</v>
      </c>
      <c r="X295">
        <f>D295 - C295</f>
        <v>241</v>
      </c>
      <c r="Y295">
        <f>O295 * P295 * (1 - W295)</f>
        <v>3081.0569999999998</v>
      </c>
      <c r="Z295">
        <f>Y295 - S295</f>
        <v>-3459.9830000000002</v>
      </c>
      <c r="AA295">
        <f>IFERROR(Z295 / Y295, 0)</f>
        <v>-1.1229857156164267</v>
      </c>
      <c r="AB295" t="str">
        <f>TEXT(C295, "mmmm")</f>
        <v>March</v>
      </c>
      <c r="AC295">
        <f>YEAR(C295)</f>
        <v>2024</v>
      </c>
      <c r="AD295" t="str">
        <f>IF(X295&lt;0, "Invalid: Ship Date Before Order Date", IF(W295&lt;0, "Invalid: Negative Discount", IF(W295&gt;0.5, "Invalid: Exceeds Allowed Discount", "OK")))</f>
        <v>Invalid: Exceeds Allowed Discount</v>
      </c>
    </row>
    <row r="296" spans="1:30">
      <c r="A296" t="s">
        <v>1510</v>
      </c>
      <c r="B296" t="str">
        <f t="shared" si="4"/>
        <v>Unique</v>
      </c>
      <c r="C296" s="3">
        <v>45854</v>
      </c>
      <c r="D296" s="3">
        <v>45860</v>
      </c>
      <c r="E296" t="s">
        <v>1513</v>
      </c>
      <c r="F296" t="s">
        <v>142</v>
      </c>
      <c r="G296" t="s">
        <v>26</v>
      </c>
      <c r="H296" t="s">
        <v>42</v>
      </c>
      <c r="I296" t="s">
        <v>43</v>
      </c>
      <c r="J296" t="s">
        <v>44</v>
      </c>
      <c r="K296" t="s">
        <v>86</v>
      </c>
      <c r="L296" t="s">
        <v>223</v>
      </c>
      <c r="M296" t="s">
        <v>1514</v>
      </c>
      <c r="N296" t="s">
        <v>33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34</v>
      </c>
      <c r="V296" t="s">
        <v>125</v>
      </c>
      <c r="W296">
        <f>IF(ISBLANK(Q296), 0, IFERROR(VALUE(Q296), 0.7))</f>
        <v>0.25</v>
      </c>
      <c r="X296">
        <f>D296 - C296</f>
        <v>6</v>
      </c>
      <c r="Y296">
        <f>O296 * P296 * (1 - W296)</f>
        <v>18716.985000000001</v>
      </c>
      <c r="Z296">
        <f>Y296 - S296</f>
        <v>6434.5550000000003</v>
      </c>
      <c r="AA296">
        <f>IFERROR(Z296 / Y296, 0)</f>
        <v>0.34378159730319813</v>
      </c>
      <c r="AB296" t="str">
        <f>TEXT(C296, "mmmm")</f>
        <v>July</v>
      </c>
      <c r="AC296">
        <f>YEAR(C296)</f>
        <v>2025</v>
      </c>
      <c r="AD296" t="str">
        <f>IF(X296&lt;0, "Invalid: Ship Date Before Order Date", IF(W296&lt;0, "Invalid: Negative Discount", IF(W296&gt;0.5, "Invalid: Exceeds Allowed Discount", "OK")))</f>
        <v>OK</v>
      </c>
    </row>
    <row r="297" spans="1:30">
      <c r="A297" t="s">
        <v>1515</v>
      </c>
      <c r="B297" t="str">
        <f t="shared" si="4"/>
        <v>Unique</v>
      </c>
      <c r="C297" s="3">
        <v>45833</v>
      </c>
      <c r="D297" s="3">
        <v>45836</v>
      </c>
      <c r="E297" t="s">
        <v>1518</v>
      </c>
      <c r="F297" t="s">
        <v>107</v>
      </c>
      <c r="G297" t="s">
        <v>41</v>
      </c>
      <c r="H297" t="s">
        <v>42</v>
      </c>
      <c r="I297" t="s">
        <v>216</v>
      </c>
      <c r="J297" t="s">
        <v>217</v>
      </c>
      <c r="K297" t="s">
        <v>30</v>
      </c>
      <c r="L297" t="s">
        <v>198</v>
      </c>
      <c r="M297" t="s">
        <v>1519</v>
      </c>
      <c r="N297" t="s">
        <v>67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34</v>
      </c>
      <c r="V297" t="s">
        <v>35</v>
      </c>
      <c r="W297">
        <f>IF(ISBLANK(Q297), 0, IFERROR(VALUE(Q297), 0.7))</f>
        <v>0.1</v>
      </c>
      <c r="X297">
        <f>D297 - C297</f>
        <v>3</v>
      </c>
      <c r="Y297">
        <f>O297 * P297 * (1 - W297)</f>
        <v>9385.3350000000009</v>
      </c>
      <c r="Z297">
        <f>Y297 - S297</f>
        <v>3556.795000000001</v>
      </c>
      <c r="AA297">
        <f>IFERROR(Z297 / Y297, 0)</f>
        <v>0.37897368607513748</v>
      </c>
      <c r="AB297" t="str">
        <f>TEXT(C297, "mmmm")</f>
        <v>June</v>
      </c>
      <c r="AC297">
        <f>YEAR(C297)</f>
        <v>2025</v>
      </c>
      <c r="AD297" t="str">
        <f>IF(X297&lt;0, "Invalid: Ship Date Before Order Date", IF(W297&lt;0, "Invalid: Negative Discount", IF(W297&gt;0.5, "Invalid: Exceeds Allowed Discount", "OK")))</f>
        <v>OK</v>
      </c>
    </row>
    <row r="298" spans="1:30">
      <c r="A298" t="s">
        <v>1520</v>
      </c>
      <c r="B298" t="str">
        <f t="shared" si="4"/>
        <v>Unique</v>
      </c>
      <c r="C298" s="3">
        <v>45801</v>
      </c>
      <c r="D298" s="3">
        <v>45803</v>
      </c>
      <c r="E298" t="s">
        <v>1523</v>
      </c>
      <c r="F298" t="s">
        <v>107</v>
      </c>
      <c r="G298" t="s">
        <v>115</v>
      </c>
      <c r="H298" t="s">
        <v>27</v>
      </c>
      <c r="I298" t="s">
        <v>323</v>
      </c>
      <c r="J298" t="s">
        <v>324</v>
      </c>
      <c r="K298" t="s">
        <v>45</v>
      </c>
      <c r="L298" t="s">
        <v>65</v>
      </c>
      <c r="M298" t="s">
        <v>1524</v>
      </c>
      <c r="N298" t="s">
        <v>48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34</v>
      </c>
      <c r="V298" t="s">
        <v>35</v>
      </c>
      <c r="W298">
        <f>IF(ISBLANK(Q298), 0, IFERROR(VALUE(Q298), 0.7))</f>
        <v>0.15</v>
      </c>
      <c r="X298">
        <f>D298 - C298</f>
        <v>2</v>
      </c>
      <c r="Y298">
        <f>O298 * P298 * (1 - W298)</f>
        <v>17826.591</v>
      </c>
      <c r="Z298">
        <f>Y298 - S298</f>
        <v>6971.241</v>
      </c>
      <c r="AA298">
        <f>IFERROR(Z298 / Y298, 0)</f>
        <v>0.39105855965394615</v>
      </c>
      <c r="AB298" t="str">
        <f>TEXT(C298, "mmmm")</f>
        <v>May</v>
      </c>
      <c r="AC298">
        <f>YEAR(C298)</f>
        <v>2025</v>
      </c>
      <c r="AD298" t="str">
        <f>IF(X298&lt;0, "Invalid: Ship Date Before Order Date", IF(W298&lt;0, "Invalid: Negative Discount", IF(W298&gt;0.5, "Invalid: Exceeds Allowed Discount", "OK")))</f>
        <v>OK</v>
      </c>
    </row>
    <row r="299" spans="1:30">
      <c r="A299" t="s">
        <v>1525</v>
      </c>
      <c r="B299" t="str">
        <f t="shared" si="4"/>
        <v>Unique</v>
      </c>
      <c r="C299" s="3">
        <v>45594</v>
      </c>
      <c r="D299" s="3">
        <v>45454</v>
      </c>
      <c r="E299" t="s">
        <v>1528</v>
      </c>
      <c r="F299" t="s">
        <v>168</v>
      </c>
      <c r="G299" t="s">
        <v>108</v>
      </c>
      <c r="H299" t="s">
        <v>62</v>
      </c>
      <c r="I299" t="s">
        <v>339</v>
      </c>
      <c r="J299" t="s">
        <v>340</v>
      </c>
      <c r="K299" t="s">
        <v>86</v>
      </c>
      <c r="L299" t="s">
        <v>94</v>
      </c>
      <c r="M299" t="s">
        <v>1529</v>
      </c>
      <c r="N299" t="s">
        <v>48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34</v>
      </c>
      <c r="V299" t="s">
        <v>35</v>
      </c>
      <c r="W299">
        <f>IF(ISBLANK(Q299), 0, IFERROR(VALUE(Q299), 0.7))</f>
        <v>0.15</v>
      </c>
      <c r="X299">
        <f>D299 - C299</f>
        <v>-140</v>
      </c>
      <c r="Y299">
        <f>O299 * P299 * (1 - W299)</f>
        <v>5966.5920000000006</v>
      </c>
      <c r="Z299">
        <f>Y299 - S299</f>
        <v>1971.8720000000008</v>
      </c>
      <c r="AA299">
        <f>IFERROR(Z299 / Y299, 0)</f>
        <v>0.33048547646629778</v>
      </c>
      <c r="AB299" t="str">
        <f>TEXT(C299, "mmmm")</f>
        <v>October</v>
      </c>
      <c r="AC299">
        <f>YEAR(C299)</f>
        <v>2024</v>
      </c>
      <c r="AD299" t="str">
        <f>IF(X299&lt;0, "Invalid: Ship Date Before Order Date", IF(W299&lt;0, "Invalid: Negative Discount", IF(W299&gt;0.5, "Invalid: Exceeds Allowed Discount", "OK")))</f>
        <v>Invalid: Ship Date Before Order Date</v>
      </c>
    </row>
    <row r="300" spans="1:30">
      <c r="A300" t="s">
        <v>1530</v>
      </c>
      <c r="B300" t="str">
        <f t="shared" si="4"/>
        <v>Unique</v>
      </c>
      <c r="C300" s="3">
        <v>45680</v>
      </c>
      <c r="D300" s="3">
        <v>45683</v>
      </c>
      <c r="E300" t="s">
        <v>1533</v>
      </c>
      <c r="F300" t="s">
        <v>53</v>
      </c>
      <c r="G300" t="s">
        <v>26</v>
      </c>
      <c r="H300" t="s">
        <v>62</v>
      </c>
      <c r="I300" t="s">
        <v>242</v>
      </c>
      <c r="J300" t="s">
        <v>243</v>
      </c>
      <c r="K300" t="s">
        <v>86</v>
      </c>
      <c r="L300" t="s">
        <v>94</v>
      </c>
      <c r="M300" t="s">
        <v>1534</v>
      </c>
      <c r="N300" t="s">
        <v>56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200</v>
      </c>
      <c r="V300" t="s">
        <v>125</v>
      </c>
      <c r="W300">
        <f>IF(ISBLANK(Q300), 0, IFERROR(VALUE(Q300), 0.7))</f>
        <v>0.2</v>
      </c>
      <c r="X300">
        <f>D300 - C300</f>
        <v>3</v>
      </c>
      <c r="Y300">
        <f>O300 * P300 * (1 - W300)</f>
        <v>1951.5440000000003</v>
      </c>
      <c r="Z300">
        <f>Y300 - S300</f>
        <v>341.59400000000028</v>
      </c>
      <c r="AA300">
        <f>IFERROR(Z300 / Y300, 0)</f>
        <v>0.17503781621116421</v>
      </c>
      <c r="AB300" t="str">
        <f>TEXT(C300, "mmmm")</f>
        <v>January</v>
      </c>
      <c r="AC300">
        <f>YEAR(C300)</f>
        <v>2025</v>
      </c>
      <c r="AD300" t="str">
        <f>IF(X300&lt;0, "Invalid: Ship Date Before Order Date", IF(W300&lt;0, "Invalid: Negative Discount", IF(W300&gt;0.5, "Invalid: Exceeds Allowed Discount", "OK")))</f>
        <v>OK</v>
      </c>
    </row>
    <row r="301" spans="1:30">
      <c r="A301" t="s">
        <v>1535</v>
      </c>
      <c r="B301" t="str">
        <f t="shared" si="4"/>
        <v>Unique</v>
      </c>
      <c r="C301" s="3">
        <v>45454</v>
      </c>
      <c r="D301" s="3">
        <v>45608</v>
      </c>
      <c r="E301" t="s">
        <v>1537</v>
      </c>
      <c r="F301" t="s">
        <v>148</v>
      </c>
      <c r="G301" t="s">
        <v>41</v>
      </c>
      <c r="H301" t="s">
        <v>73</v>
      </c>
      <c r="I301" t="s">
        <v>235</v>
      </c>
      <c r="J301" t="s">
        <v>236</v>
      </c>
      <c r="K301" t="s">
        <v>86</v>
      </c>
      <c r="L301" t="s">
        <v>87</v>
      </c>
      <c r="M301" t="s">
        <v>1538</v>
      </c>
      <c r="N301" t="s">
        <v>67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34</v>
      </c>
      <c r="V301" t="s">
        <v>35</v>
      </c>
      <c r="W301">
        <f>IF(ISBLANK(Q301), 0, IFERROR(VALUE(Q301), 0.7))</f>
        <v>0.1</v>
      </c>
      <c r="X301">
        <f>D301 - C301</f>
        <v>154</v>
      </c>
      <c r="Y301">
        <f>O301 * P301 * (1 - W301)</f>
        <v>10830.015000000001</v>
      </c>
      <c r="Z301">
        <f>Y301 - S301</f>
        <v>3774.7050000000008</v>
      </c>
      <c r="AA301">
        <f>IFERROR(Z301 / Y301, 0)</f>
        <v>0.34854106850267524</v>
      </c>
      <c r="AB301" t="str">
        <f>TEXT(C301, "mmmm")</f>
        <v>June</v>
      </c>
      <c r="AC301">
        <f>YEAR(C301)</f>
        <v>2024</v>
      </c>
      <c r="AD301" t="str">
        <f>IF(X301&lt;0, "Invalid: Ship Date Before Order Date", IF(W301&lt;0, "Invalid: Negative Discount", IF(W301&gt;0.5, "Invalid: Exceeds Allowed Discount", "OK")))</f>
        <v>OK</v>
      </c>
    </row>
    <row r="302" spans="1:30">
      <c r="A302" t="s">
        <v>1539</v>
      </c>
      <c r="B302" t="str">
        <f t="shared" si="4"/>
        <v>Unique</v>
      </c>
      <c r="C302" s="3">
        <v>45397</v>
      </c>
      <c r="D302" s="3">
        <v>45405</v>
      </c>
      <c r="E302" t="s">
        <v>1542</v>
      </c>
      <c r="F302" t="s">
        <v>210</v>
      </c>
      <c r="G302" t="s">
        <v>41</v>
      </c>
      <c r="H302" t="s">
        <v>27</v>
      </c>
      <c r="I302" t="s">
        <v>154</v>
      </c>
      <c r="J302" t="s">
        <v>155</v>
      </c>
      <c r="K302" t="s">
        <v>86</v>
      </c>
      <c r="L302" t="s">
        <v>87</v>
      </c>
      <c r="M302" t="s">
        <v>1543</v>
      </c>
      <c r="N302" t="s">
        <v>33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34</v>
      </c>
      <c r="V302" t="s">
        <v>35</v>
      </c>
      <c r="W302">
        <f>IF(ISBLANK(Q302), 0, IFERROR(VALUE(Q302), 0.7))</f>
        <v>0.1</v>
      </c>
      <c r="X302">
        <f>D302 - C302</f>
        <v>8</v>
      </c>
      <c r="Y302">
        <f>O302 * P302 * (1 - W302)</f>
        <v>31539.293999999998</v>
      </c>
      <c r="Z302">
        <f>Y302 - S302</f>
        <v>9439.1539999999986</v>
      </c>
      <c r="AA302">
        <f>IFERROR(Z302 / Y302, 0)</f>
        <v>0.29928234918638313</v>
      </c>
      <c r="AB302" t="str">
        <f>TEXT(C302, "mmmm")</f>
        <v>April</v>
      </c>
      <c r="AC302">
        <f>YEAR(C302)</f>
        <v>2024</v>
      </c>
      <c r="AD302" t="str">
        <f>IF(X302&lt;0, "Invalid: Ship Date Before Order Date", IF(W302&lt;0, "Invalid: Negative Discount", IF(W302&gt;0.5, "Invalid: Exceeds Allowed Discount", "OK")))</f>
        <v>OK</v>
      </c>
    </row>
    <row r="303" spans="1:30">
      <c r="A303" t="s">
        <v>1544</v>
      </c>
      <c r="B303" t="str">
        <f t="shared" si="4"/>
        <v>Unique</v>
      </c>
      <c r="C303" s="3">
        <v>45805</v>
      </c>
      <c r="D303" s="3">
        <v>45663</v>
      </c>
      <c r="E303" t="s">
        <v>1546</v>
      </c>
      <c r="F303" t="s">
        <v>53</v>
      </c>
      <c r="G303" t="s">
        <v>115</v>
      </c>
      <c r="H303" t="s">
        <v>42</v>
      </c>
      <c r="I303" t="s">
        <v>186</v>
      </c>
      <c r="J303" t="s">
        <v>187</v>
      </c>
      <c r="K303" t="s">
        <v>86</v>
      </c>
      <c r="L303" t="s">
        <v>223</v>
      </c>
      <c r="M303" t="s">
        <v>1547</v>
      </c>
      <c r="N303" t="s">
        <v>48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34</v>
      </c>
      <c r="V303" t="s">
        <v>35</v>
      </c>
      <c r="W303">
        <f>IF(ISBLANK(Q303), 0, IFERROR(VALUE(Q303), 0.7))</f>
        <v>0.05</v>
      </c>
      <c r="X303">
        <f>D303 - C303</f>
        <v>-142</v>
      </c>
      <c r="Y303">
        <f>O303 * P303 * (1 - W303)</f>
        <v>6285.6179999999995</v>
      </c>
      <c r="Z303">
        <f>Y303 - S303</f>
        <v>2580.2379999999994</v>
      </c>
      <c r="AA303">
        <f>IFERROR(Z303 / Y303, 0)</f>
        <v>0.41049869718458865</v>
      </c>
      <c r="AB303" t="str">
        <f>TEXT(C303, "mmmm")</f>
        <v>May</v>
      </c>
      <c r="AC303">
        <f>YEAR(C303)</f>
        <v>2025</v>
      </c>
      <c r="AD303" t="str">
        <f>IF(X303&lt;0, "Invalid: Ship Date Before Order Date", IF(W303&lt;0, "Invalid: Negative Discount", IF(W303&gt;0.5, "Invalid: Exceeds Allowed Discount", "OK")))</f>
        <v>Invalid: Ship Date Before Order Date</v>
      </c>
    </row>
    <row r="304" spans="1:30">
      <c r="A304" t="s">
        <v>1548</v>
      </c>
      <c r="B304" t="str">
        <f t="shared" si="4"/>
        <v>Unique</v>
      </c>
      <c r="C304" s="3">
        <v>45753</v>
      </c>
      <c r="D304" s="3">
        <v>45820</v>
      </c>
      <c r="E304" t="s">
        <v>1550</v>
      </c>
      <c r="F304" t="s">
        <v>93</v>
      </c>
      <c r="G304" t="s">
        <v>26</v>
      </c>
      <c r="H304" t="s">
        <v>73</v>
      </c>
      <c r="I304" t="s">
        <v>249</v>
      </c>
      <c r="J304" t="s">
        <v>250</v>
      </c>
      <c r="K304" t="s">
        <v>30</v>
      </c>
      <c r="L304" t="s">
        <v>156</v>
      </c>
      <c r="M304" t="s">
        <v>1551</v>
      </c>
      <c r="N304" t="s">
        <v>48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34</v>
      </c>
      <c r="V304" t="s">
        <v>35</v>
      </c>
      <c r="W304">
        <f>IF(ISBLANK(Q304), 0, IFERROR(VALUE(Q304), 0.7))</f>
        <v>0.25</v>
      </c>
      <c r="X304">
        <f>D304 - C304</f>
        <v>67</v>
      </c>
      <c r="Y304">
        <f>O304 * P304 * (1 - W304)</f>
        <v>4054.92</v>
      </c>
      <c r="Z304">
        <f>Y304 - S304</f>
        <v>1630.0900000000001</v>
      </c>
      <c r="AA304">
        <f>IFERROR(Z304 / Y304, 0)</f>
        <v>0.40200299882611745</v>
      </c>
      <c r="AB304" t="str">
        <f>TEXT(C304, "mmmm")</f>
        <v>April</v>
      </c>
      <c r="AC304">
        <f>YEAR(C304)</f>
        <v>2025</v>
      </c>
      <c r="AD304" t="str">
        <f>IF(X304&lt;0, "Invalid: Ship Date Before Order Date", IF(W304&lt;0, "Invalid: Negative Discount", IF(W304&gt;0.5, "Invalid: Exceeds Allowed Discount", "OK")))</f>
        <v>OK</v>
      </c>
    </row>
    <row r="305" spans="1:30">
      <c r="A305" t="s">
        <v>1552</v>
      </c>
      <c r="B305" t="str">
        <f t="shared" si="4"/>
        <v>Unique</v>
      </c>
      <c r="C305" s="3">
        <v>45466</v>
      </c>
      <c r="D305" s="3">
        <v>45471</v>
      </c>
      <c r="E305" t="s">
        <v>1554</v>
      </c>
      <c r="F305" t="s">
        <v>210</v>
      </c>
      <c r="G305" t="s">
        <v>115</v>
      </c>
      <c r="H305" t="s">
        <v>73</v>
      </c>
      <c r="I305" t="s">
        <v>235</v>
      </c>
      <c r="J305" t="s">
        <v>236</v>
      </c>
      <c r="K305" t="s">
        <v>45</v>
      </c>
      <c r="L305" t="s">
        <v>76</v>
      </c>
      <c r="M305" t="s">
        <v>1555</v>
      </c>
      <c r="N305" t="s">
        <v>67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137</v>
      </c>
      <c r="V305" t="s">
        <v>125</v>
      </c>
      <c r="W305">
        <f>IF(ISBLANK(Q305), 0, IFERROR(VALUE(Q305), 0.7))</f>
        <v>0.1</v>
      </c>
      <c r="X305">
        <f>D305 - C305</f>
        <v>5</v>
      </c>
      <c r="Y305">
        <f>O305 * P305 * (1 - W305)</f>
        <v>2363.652</v>
      </c>
      <c r="Z305">
        <f>Y305 - S305</f>
        <v>487.55200000000013</v>
      </c>
      <c r="AA305">
        <f>IFERROR(Z305 / Y305, 0)</f>
        <v>0.20627063544041174</v>
      </c>
      <c r="AB305" t="str">
        <f>TEXT(C305, "mmmm")</f>
        <v>June</v>
      </c>
      <c r="AC305">
        <f>YEAR(C305)</f>
        <v>2024</v>
      </c>
      <c r="AD305" t="str">
        <f>IF(X305&lt;0, "Invalid: Ship Date Before Order Date", IF(W305&lt;0, "Invalid: Negative Discount", IF(W305&gt;0.5, "Invalid: Exceeds Allowed Discount", "OK")))</f>
        <v>OK</v>
      </c>
    </row>
    <row r="306" spans="1:30">
      <c r="A306" t="s">
        <v>1556</v>
      </c>
      <c r="B306" t="str">
        <f t="shared" si="4"/>
        <v>Unique</v>
      </c>
      <c r="C306" s="3">
        <v>45357</v>
      </c>
      <c r="D306" s="3">
        <v>45364</v>
      </c>
      <c r="E306" t="s">
        <v>1559</v>
      </c>
      <c r="F306" t="s">
        <v>25</v>
      </c>
      <c r="G306" t="s">
        <v>26</v>
      </c>
      <c r="H306" t="s">
        <v>27</v>
      </c>
      <c r="I306" t="s">
        <v>154</v>
      </c>
      <c r="J306" t="s">
        <v>155</v>
      </c>
      <c r="K306" t="s">
        <v>45</v>
      </c>
      <c r="L306" t="s">
        <v>65</v>
      </c>
      <c r="M306" t="s">
        <v>1560</v>
      </c>
      <c r="N306" t="s">
        <v>67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34</v>
      </c>
      <c r="V306" t="s">
        <v>35</v>
      </c>
      <c r="W306">
        <f>IF(ISBLANK(Q306), 0, IFERROR(VALUE(Q306), 0.7))</f>
        <v>0.1</v>
      </c>
      <c r="X306">
        <f>D306 - C306</f>
        <v>7</v>
      </c>
      <c r="Y306">
        <f>O306 * P306 * (1 - W306)</f>
        <v>12976.470000000001</v>
      </c>
      <c r="Z306">
        <f>Y306 - S306</f>
        <v>2956.4900000000016</v>
      </c>
      <c r="AA306">
        <f>IFERROR(Z306 / Y306, 0)</f>
        <v>0.22783468847845378</v>
      </c>
      <c r="AB306" t="str">
        <f>TEXT(C306, "mmmm")</f>
        <v>March</v>
      </c>
      <c r="AC306">
        <f>YEAR(C306)</f>
        <v>2024</v>
      </c>
      <c r="AD306" t="str">
        <f>IF(X306&lt;0, "Invalid: Ship Date Before Order Date", IF(W306&lt;0, "Invalid: Negative Discount", IF(W306&gt;0.5, "Invalid: Exceeds Allowed Discount", "OK")))</f>
        <v>OK</v>
      </c>
    </row>
    <row r="307" spans="1:30">
      <c r="A307" t="s">
        <v>1561</v>
      </c>
      <c r="B307" t="str">
        <f t="shared" si="4"/>
        <v>Unique</v>
      </c>
      <c r="C307" s="3">
        <v>45413</v>
      </c>
      <c r="D307" s="3">
        <v>45414</v>
      </c>
      <c r="E307" t="s">
        <v>1563</v>
      </c>
      <c r="F307" t="s">
        <v>72</v>
      </c>
      <c r="G307" t="s">
        <v>26</v>
      </c>
      <c r="H307" t="s">
        <v>42</v>
      </c>
      <c r="I307" t="s">
        <v>216</v>
      </c>
      <c r="J307" t="s">
        <v>217</v>
      </c>
      <c r="K307" t="s">
        <v>45</v>
      </c>
      <c r="L307" t="s">
        <v>76</v>
      </c>
      <c r="M307" t="s">
        <v>1564</v>
      </c>
      <c r="N307" t="s">
        <v>56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34</v>
      </c>
      <c r="V307" t="s">
        <v>78</v>
      </c>
      <c r="W307">
        <f>IF(ISBLANK(Q307), 0, IFERROR(VALUE(Q307), 0.7))</f>
        <v>0.55000000000000004</v>
      </c>
      <c r="X307">
        <f>D307 - C307</f>
        <v>1</v>
      </c>
      <c r="Y307">
        <f>O307 * P307 * (1 - W307)</f>
        <v>7480.9080000000004</v>
      </c>
      <c r="Z307">
        <f>Y307 - S307</f>
        <v>-2371.0019999999995</v>
      </c>
      <c r="AA307">
        <f>IFERROR(Z307 / Y307, 0)</f>
        <v>-0.31694040349112695</v>
      </c>
      <c r="AB307" t="str">
        <f>TEXT(C307, "mmmm")</f>
        <v>May</v>
      </c>
      <c r="AC307">
        <f>YEAR(C307)</f>
        <v>2024</v>
      </c>
      <c r="AD307" t="str">
        <f>IF(X307&lt;0, "Invalid: Ship Date Before Order Date", IF(W307&lt;0, "Invalid: Negative Discount", IF(W307&gt;0.5, "Invalid: Exceeds Allowed Discount", "OK")))</f>
        <v>Invalid: Exceeds Allowed Discount</v>
      </c>
    </row>
    <row r="308" spans="1:30">
      <c r="A308" t="s">
        <v>1565</v>
      </c>
      <c r="B308" t="str">
        <f t="shared" si="4"/>
        <v>Unique</v>
      </c>
      <c r="C308" s="3">
        <v>45708</v>
      </c>
      <c r="D308" s="3">
        <v>45711</v>
      </c>
      <c r="E308" t="s">
        <v>1567</v>
      </c>
      <c r="F308" t="s">
        <v>162</v>
      </c>
      <c r="G308" t="s">
        <v>26</v>
      </c>
      <c r="H308" t="s">
        <v>27</v>
      </c>
      <c r="I308" t="s">
        <v>28</v>
      </c>
      <c r="J308" t="s">
        <v>29</v>
      </c>
      <c r="K308" t="s">
        <v>86</v>
      </c>
      <c r="L308" t="s">
        <v>223</v>
      </c>
      <c r="M308" t="s">
        <v>1568</v>
      </c>
      <c r="N308" t="s">
        <v>33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34</v>
      </c>
      <c r="V308" t="s">
        <v>35</v>
      </c>
      <c r="W308">
        <f>IF(ISBLANK(Q308), 0, IFERROR(VALUE(Q308), 0.7))</f>
        <v>0</v>
      </c>
      <c r="X308">
        <f>D308 - C308</f>
        <v>3</v>
      </c>
      <c r="Y308">
        <f>O308 * P308 * (1 - W308)</f>
        <v>14692.44</v>
      </c>
      <c r="Z308">
        <f>Y308 - S308</f>
        <v>4610.25</v>
      </c>
      <c r="AA308">
        <f>IFERROR(Z308 / Y308, 0)</f>
        <v>0.31378382351740075</v>
      </c>
      <c r="AB308" t="str">
        <f>TEXT(C308, "mmmm")</f>
        <v>February</v>
      </c>
      <c r="AC308">
        <f>YEAR(C308)</f>
        <v>2025</v>
      </c>
      <c r="AD308" t="str">
        <f>IF(X308&lt;0, "Invalid: Ship Date Before Order Date", IF(W308&lt;0, "Invalid: Negative Discount", IF(W308&gt;0.5, "Invalid: Exceeds Allowed Discount", "OK")))</f>
        <v>OK</v>
      </c>
    </row>
    <row r="309" spans="1:30">
      <c r="A309" t="s">
        <v>1569</v>
      </c>
      <c r="B309" t="str">
        <f t="shared" si="4"/>
        <v>Unique</v>
      </c>
      <c r="C309" s="3">
        <v>45850</v>
      </c>
      <c r="D309" s="3">
        <v>45857</v>
      </c>
      <c r="E309" t="s">
        <v>1572</v>
      </c>
      <c r="F309" t="s">
        <v>72</v>
      </c>
      <c r="G309" t="s">
        <v>108</v>
      </c>
      <c r="H309" t="s">
        <v>27</v>
      </c>
      <c r="I309" t="s">
        <v>174</v>
      </c>
      <c r="J309" t="s">
        <v>175</v>
      </c>
      <c r="K309" t="s">
        <v>45</v>
      </c>
      <c r="L309" t="s">
        <v>46</v>
      </c>
      <c r="M309" t="s">
        <v>1573</v>
      </c>
      <c r="N309" t="s">
        <v>56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137</v>
      </c>
      <c r="V309" t="s">
        <v>78</v>
      </c>
      <c r="W309">
        <f>IF(ISBLANK(Q309), 0, IFERROR(VALUE(Q309), 0.7))</f>
        <v>0.2</v>
      </c>
      <c r="X309">
        <f>D309 - C309</f>
        <v>7</v>
      </c>
      <c r="Y309">
        <f>O309 * P309 * (1 - W309)</f>
        <v>29469.888000000003</v>
      </c>
      <c r="Z309">
        <f>Y309 - S309</f>
        <v>10534.378000000004</v>
      </c>
      <c r="AA309">
        <f>IFERROR(Z309 / Y309, 0)</f>
        <v>0.3574624375905332</v>
      </c>
      <c r="AB309" t="str">
        <f>TEXT(C309, "mmmm")</f>
        <v>July</v>
      </c>
      <c r="AC309">
        <f>YEAR(C309)</f>
        <v>2025</v>
      </c>
      <c r="AD309" t="str">
        <f>IF(X309&lt;0, "Invalid: Ship Date Before Order Date", IF(W309&lt;0, "Invalid: Negative Discount", IF(W309&gt;0.5, "Invalid: Exceeds Allowed Discount", "OK")))</f>
        <v>OK</v>
      </c>
    </row>
    <row r="310" spans="1:30">
      <c r="A310" t="s">
        <v>1575</v>
      </c>
      <c r="B310" t="str">
        <f t="shared" si="4"/>
        <v>Unique</v>
      </c>
      <c r="C310" s="3">
        <v>45821</v>
      </c>
      <c r="D310" s="3">
        <v>45827</v>
      </c>
      <c r="E310" t="s">
        <v>1578</v>
      </c>
      <c r="F310" t="s">
        <v>180</v>
      </c>
      <c r="G310" t="s">
        <v>26</v>
      </c>
      <c r="H310" t="s">
        <v>27</v>
      </c>
      <c r="I310" t="s">
        <v>28</v>
      </c>
      <c r="J310" t="s">
        <v>29</v>
      </c>
      <c r="K310" t="s">
        <v>45</v>
      </c>
      <c r="L310" t="s">
        <v>46</v>
      </c>
      <c r="M310" t="s">
        <v>1579</v>
      </c>
      <c r="N310" t="s">
        <v>56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34</v>
      </c>
      <c r="V310" t="s">
        <v>35</v>
      </c>
      <c r="W310">
        <f>IF(ISBLANK(Q310), 0, IFERROR(VALUE(Q310), 0.7))</f>
        <v>0.2</v>
      </c>
      <c r="X310">
        <f>D310 - C310</f>
        <v>6</v>
      </c>
      <c r="Y310">
        <f>O310 * P310 * (1 - W310)</f>
        <v>2341.0240000000003</v>
      </c>
      <c r="Z310">
        <f>Y310 - S310</f>
        <v>775.53400000000033</v>
      </c>
      <c r="AA310">
        <f>IFERROR(Z310 / Y310, 0)</f>
        <v>0.33127981601213835</v>
      </c>
      <c r="AB310" t="str">
        <f>TEXT(C310, "mmmm")</f>
        <v>June</v>
      </c>
      <c r="AC310">
        <f>YEAR(C310)</f>
        <v>2025</v>
      </c>
      <c r="AD310" t="str">
        <f>IF(X310&lt;0, "Invalid: Ship Date Before Order Date", IF(W310&lt;0, "Invalid: Negative Discount", IF(W310&gt;0.5, "Invalid: Exceeds Allowed Discount", "OK")))</f>
        <v>OK</v>
      </c>
    </row>
    <row r="311" spans="1:30">
      <c r="A311" t="s">
        <v>1580</v>
      </c>
      <c r="B311" t="str">
        <f t="shared" si="4"/>
        <v>Unique</v>
      </c>
      <c r="C311" s="3">
        <v>45493</v>
      </c>
      <c r="D311" s="3">
        <v>45495</v>
      </c>
      <c r="E311" t="s">
        <v>1582</v>
      </c>
      <c r="F311" t="s">
        <v>72</v>
      </c>
      <c r="G311" t="s">
        <v>26</v>
      </c>
      <c r="H311" t="s">
        <v>62</v>
      </c>
      <c r="I311" t="s">
        <v>339</v>
      </c>
      <c r="J311" t="s">
        <v>340</v>
      </c>
      <c r="K311" t="s">
        <v>45</v>
      </c>
      <c r="L311" t="s">
        <v>46</v>
      </c>
      <c r="M311" t="s">
        <v>1583</v>
      </c>
      <c r="N311" t="s">
        <v>56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34</v>
      </c>
      <c r="V311" t="s">
        <v>78</v>
      </c>
      <c r="W311">
        <f>IF(ISBLANK(Q311), 0, IFERROR(VALUE(Q311), 0.7))</f>
        <v>0.1</v>
      </c>
      <c r="X311">
        <f>D311 - C311</f>
        <v>2</v>
      </c>
      <c r="Y311">
        <f>O311 * P311 * (1 - W311)</f>
        <v>12982.599</v>
      </c>
      <c r="Z311">
        <f>Y311 - S311</f>
        <v>5736.2390000000005</v>
      </c>
      <c r="AA311">
        <f>IFERROR(Z311 / Y311, 0)</f>
        <v>0.441840574448922</v>
      </c>
      <c r="AB311" t="str">
        <f>TEXT(C311, "mmmm")</f>
        <v>July</v>
      </c>
      <c r="AC311">
        <f>YEAR(C311)</f>
        <v>2024</v>
      </c>
      <c r="AD311" t="str">
        <f>IF(X311&lt;0, "Invalid: Ship Date Before Order Date", IF(W311&lt;0, "Invalid: Negative Discount", IF(W311&gt;0.5, "Invalid: Exceeds Allowed Discount", "OK")))</f>
        <v>OK</v>
      </c>
    </row>
    <row r="312" spans="1:30">
      <c r="A312" t="s">
        <v>1584</v>
      </c>
      <c r="B312" t="str">
        <f t="shared" si="4"/>
        <v>Unique</v>
      </c>
      <c r="C312" s="3">
        <v>45389</v>
      </c>
      <c r="D312" s="3">
        <v>45511</v>
      </c>
      <c r="E312" t="s">
        <v>1587</v>
      </c>
      <c r="F312" t="s">
        <v>180</v>
      </c>
      <c r="G312" t="s">
        <v>41</v>
      </c>
      <c r="H312" t="s">
        <v>62</v>
      </c>
      <c r="I312" t="s">
        <v>339</v>
      </c>
      <c r="J312" t="s">
        <v>340</v>
      </c>
      <c r="K312" t="s">
        <v>86</v>
      </c>
      <c r="L312" t="s">
        <v>382</v>
      </c>
      <c r="M312" t="s">
        <v>1588</v>
      </c>
      <c r="N312" t="s">
        <v>56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34</v>
      </c>
      <c r="V312" t="s">
        <v>35</v>
      </c>
      <c r="W312">
        <f>IF(ISBLANK(Q312), 0, IFERROR(VALUE(Q312), 0.7))</f>
        <v>0</v>
      </c>
      <c r="X312">
        <f>D312 - C312</f>
        <v>122</v>
      </c>
      <c r="Y312">
        <f>O312 * P312 * (1 - W312)</f>
        <v>16274</v>
      </c>
      <c r="Z312">
        <f>Y312 - S312</f>
        <v>6849.75</v>
      </c>
      <c r="AA312">
        <f>IFERROR(Z312 / Y312, 0)</f>
        <v>0.42090143787636719</v>
      </c>
      <c r="AB312" t="str">
        <f>TEXT(C312, "mmmm")</f>
        <v>April</v>
      </c>
      <c r="AC312">
        <f>YEAR(C312)</f>
        <v>2024</v>
      </c>
      <c r="AD312" t="str">
        <f>IF(X312&lt;0, "Invalid: Ship Date Before Order Date", IF(W312&lt;0, "Invalid: Negative Discount", IF(W312&gt;0.5, "Invalid: Exceeds Allowed Discount", "OK")))</f>
        <v>OK</v>
      </c>
    </row>
    <row r="313" spans="1:30">
      <c r="A313" t="s">
        <v>1589</v>
      </c>
      <c r="B313" t="str">
        <f t="shared" si="4"/>
        <v>Unique</v>
      </c>
      <c r="C313" s="3">
        <v>45409</v>
      </c>
      <c r="D313" s="3">
        <v>45327</v>
      </c>
      <c r="E313" t="s">
        <v>1591</v>
      </c>
      <c r="F313" t="s">
        <v>40</v>
      </c>
      <c r="G313" t="s">
        <v>108</v>
      </c>
      <c r="H313" t="s">
        <v>62</v>
      </c>
      <c r="I313" t="s">
        <v>229</v>
      </c>
      <c r="J313" t="s">
        <v>230</v>
      </c>
      <c r="K313" t="s">
        <v>30</v>
      </c>
      <c r="L313" t="s">
        <v>198</v>
      </c>
      <c r="M313" t="s">
        <v>1592</v>
      </c>
      <c r="N313" t="s">
        <v>33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34</v>
      </c>
      <c r="V313" t="s">
        <v>35</v>
      </c>
      <c r="W313">
        <f>IF(ISBLANK(Q313), 0, IFERROR(VALUE(Q313), 0.7))</f>
        <v>0.1</v>
      </c>
      <c r="X313">
        <f>D313 - C313</f>
        <v>-82</v>
      </c>
      <c r="Y313">
        <f>O313 * P313 * (1 - W313)</f>
        <v>2493.1799999999998</v>
      </c>
      <c r="Z313">
        <f>Y313 - S313</f>
        <v>729.17999999999984</v>
      </c>
      <c r="AA313">
        <f>IFERROR(Z313 / Y313, 0)</f>
        <v>0.29246985777200196</v>
      </c>
      <c r="AB313" t="str">
        <f>TEXT(C313, "mmmm")</f>
        <v>April</v>
      </c>
      <c r="AC313">
        <f>YEAR(C313)</f>
        <v>2024</v>
      </c>
      <c r="AD313" t="str">
        <f>IF(X313&lt;0, "Invalid: Ship Date Before Order Date", IF(W313&lt;0, "Invalid: Negative Discount", IF(W313&gt;0.5, "Invalid: Exceeds Allowed Discount", "OK")))</f>
        <v>Invalid: Ship Date Before Order Date</v>
      </c>
    </row>
    <row r="314" spans="1:30">
      <c r="A314" t="s">
        <v>1593</v>
      </c>
      <c r="B314" t="str">
        <f t="shared" si="4"/>
        <v>Unique</v>
      </c>
      <c r="C314" s="3">
        <v>45504</v>
      </c>
      <c r="D314" s="3">
        <v>45390</v>
      </c>
      <c r="E314" t="s">
        <v>1595</v>
      </c>
      <c r="F314" t="s">
        <v>25</v>
      </c>
      <c r="G314" t="s">
        <v>41</v>
      </c>
      <c r="H314" t="s">
        <v>42</v>
      </c>
      <c r="I314" t="s">
        <v>216</v>
      </c>
      <c r="J314" t="s">
        <v>217</v>
      </c>
      <c r="K314" t="s">
        <v>86</v>
      </c>
      <c r="L314" t="s">
        <v>223</v>
      </c>
      <c r="M314" t="s">
        <v>1596</v>
      </c>
      <c r="N314" t="s">
        <v>67</v>
      </c>
      <c r="O314">
        <v>8</v>
      </c>
      <c r="P314">
        <v>2614.7399999999998</v>
      </c>
      <c r="R314">
        <v>15688.44</v>
      </c>
      <c r="S314">
        <v>10047.33</v>
      </c>
      <c r="T314">
        <v>5641.11</v>
      </c>
      <c r="U314" t="s">
        <v>34</v>
      </c>
      <c r="V314" t="s">
        <v>78</v>
      </c>
      <c r="W314">
        <f>IF(ISBLANK(Q314), 0, IFERROR(VALUE(Q314), 0.7))</f>
        <v>0</v>
      </c>
      <c r="X314">
        <f>D314 - C314</f>
        <v>-114</v>
      </c>
      <c r="Y314">
        <f>O314 * P314 * (1 - W314)</f>
        <v>20917.919999999998</v>
      </c>
      <c r="Z314">
        <f>Y314 - S314</f>
        <v>10870.589999999998</v>
      </c>
      <c r="AA314">
        <f>IFERROR(Z314 / Y314, 0)</f>
        <v>0.5196783427797792</v>
      </c>
      <c r="AB314" t="str">
        <f>TEXT(C314, "mmmm")</f>
        <v>July</v>
      </c>
      <c r="AC314">
        <f>YEAR(C314)</f>
        <v>2024</v>
      </c>
      <c r="AD314" t="str">
        <f>IF(X314&lt;0, "Invalid: Ship Date Before Order Date", IF(W314&lt;0, "Invalid: Negative Discount", IF(W314&gt;0.5, "Invalid: Exceeds Allowed Discount", "OK")))</f>
        <v>Invalid: Ship Date Before Order Date</v>
      </c>
    </row>
    <row r="315" spans="1:30">
      <c r="A315" t="s">
        <v>1597</v>
      </c>
      <c r="B315" t="str">
        <f t="shared" si="4"/>
        <v>Unique</v>
      </c>
      <c r="C315" s="3">
        <v>45807</v>
      </c>
      <c r="D315" s="3">
        <v>45808</v>
      </c>
      <c r="E315" t="s">
        <v>1600</v>
      </c>
      <c r="F315" t="s">
        <v>148</v>
      </c>
      <c r="G315" t="s">
        <v>108</v>
      </c>
      <c r="H315" t="s">
        <v>27</v>
      </c>
      <c r="I315" t="s">
        <v>174</v>
      </c>
      <c r="J315" t="s">
        <v>175</v>
      </c>
      <c r="K315" t="s">
        <v>86</v>
      </c>
      <c r="L315" t="s">
        <v>223</v>
      </c>
      <c r="M315" t="s">
        <v>1601</v>
      </c>
      <c r="N315" t="s">
        <v>56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124</v>
      </c>
      <c r="V315" t="s">
        <v>78</v>
      </c>
      <c r="W315">
        <f>IF(ISBLANK(Q315), 0, IFERROR(VALUE(Q315), 0.7))</f>
        <v>0.25</v>
      </c>
      <c r="X315">
        <f>D315 - C315</f>
        <v>1</v>
      </c>
      <c r="Y315">
        <f>O315 * P315 * (1 - W315)</f>
        <v>12488.579999999998</v>
      </c>
      <c r="Z315">
        <f>Y315 - S315</f>
        <v>1771.1799999999985</v>
      </c>
      <c r="AA315">
        <f>IFERROR(Z315 / Y315, 0)</f>
        <v>0.14182397037933847</v>
      </c>
      <c r="AB315" t="str">
        <f>TEXT(C315, "mmmm")</f>
        <v>May</v>
      </c>
      <c r="AC315">
        <f>YEAR(C315)</f>
        <v>2025</v>
      </c>
      <c r="AD315" t="str">
        <f>IF(X315&lt;0, "Invalid: Ship Date Before Order Date", IF(W315&lt;0, "Invalid: Negative Discount", IF(W315&gt;0.5, "Invalid: Exceeds Allowed Discount", "OK")))</f>
        <v>OK</v>
      </c>
    </row>
    <row r="316" spans="1:30">
      <c r="A316" t="s">
        <v>1602</v>
      </c>
      <c r="B316" t="str">
        <f t="shared" si="4"/>
        <v>Review: Duplicate Order ID</v>
      </c>
      <c r="C316" s="3">
        <v>45795</v>
      </c>
      <c r="D316" s="3">
        <v>45797</v>
      </c>
      <c r="E316" t="s">
        <v>1603</v>
      </c>
      <c r="F316" t="s">
        <v>53</v>
      </c>
      <c r="G316" t="s">
        <v>108</v>
      </c>
      <c r="H316" t="s">
        <v>73</v>
      </c>
      <c r="I316" t="s">
        <v>84</v>
      </c>
      <c r="J316" t="s">
        <v>85</v>
      </c>
      <c r="K316" t="s">
        <v>30</v>
      </c>
      <c r="L316" t="s">
        <v>109</v>
      </c>
      <c r="M316" t="s">
        <v>1604</v>
      </c>
      <c r="N316" t="s">
        <v>67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200</v>
      </c>
      <c r="V316" t="s">
        <v>125</v>
      </c>
      <c r="W316">
        <f>IF(ISBLANK(Q316), 0, IFERROR(VALUE(Q316), 0.7))</f>
        <v>0.15</v>
      </c>
      <c r="X316">
        <f>D316 - C316</f>
        <v>2</v>
      </c>
      <c r="Y316">
        <f>O316 * P316 * (1 - W316)</f>
        <v>6485.3639999999996</v>
      </c>
      <c r="Z316">
        <f>Y316 - S316</f>
        <v>1109.1939999999995</v>
      </c>
      <c r="AA316">
        <f>IFERROR(Z316 / Y316, 0)</f>
        <v>0.17103033846673826</v>
      </c>
      <c r="AB316" t="str">
        <f>TEXT(C316, "mmmm")</f>
        <v>May</v>
      </c>
      <c r="AC316">
        <f>YEAR(C316)</f>
        <v>2025</v>
      </c>
      <c r="AD316" t="str">
        <f>IF(X316&lt;0, "Invalid: Ship Date Before Order Date", IF(W316&lt;0, "Invalid: Negative Discount", IF(W316&gt;0.5, "Invalid: Exceeds Allowed Discount", "OK")))</f>
        <v>OK</v>
      </c>
    </row>
    <row r="317" spans="1:30">
      <c r="A317" t="s">
        <v>1605</v>
      </c>
      <c r="B317" t="str">
        <f t="shared" si="4"/>
        <v>Unique</v>
      </c>
      <c r="C317" s="3">
        <v>45475</v>
      </c>
      <c r="D317" s="3">
        <v>45481</v>
      </c>
      <c r="E317" t="s">
        <v>1608</v>
      </c>
      <c r="F317" t="s">
        <v>180</v>
      </c>
      <c r="G317" t="s">
        <v>26</v>
      </c>
      <c r="H317" t="s">
        <v>27</v>
      </c>
      <c r="I317" t="s">
        <v>506</v>
      </c>
      <c r="J317" t="s">
        <v>507</v>
      </c>
      <c r="K317" t="s">
        <v>30</v>
      </c>
      <c r="L317" t="s">
        <v>31</v>
      </c>
      <c r="M317" t="s">
        <v>1609</v>
      </c>
      <c r="N317" t="s">
        <v>67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137</v>
      </c>
      <c r="V317" t="s">
        <v>125</v>
      </c>
      <c r="W317">
        <f>IF(ISBLANK(Q317), 0, IFERROR(VALUE(Q317), 0.7))</f>
        <v>0.05</v>
      </c>
      <c r="X317">
        <f>D317 - C317</f>
        <v>6</v>
      </c>
      <c r="Y317">
        <f>O317 * P317 * (1 - W317)</f>
        <v>29500.920000000002</v>
      </c>
      <c r="Z317">
        <f>Y317 - S317</f>
        <v>11511.240000000002</v>
      </c>
      <c r="AA317">
        <f>IFERROR(Z317 / Y317, 0)</f>
        <v>0.39019935649464493</v>
      </c>
      <c r="AB317" t="str">
        <f>TEXT(C317, "mmmm")</f>
        <v>July</v>
      </c>
      <c r="AC317">
        <f>YEAR(C317)</f>
        <v>2024</v>
      </c>
      <c r="AD317" t="str">
        <f>IF(X317&lt;0, "Invalid: Ship Date Before Order Date", IF(W317&lt;0, "Invalid: Negative Discount", IF(W317&gt;0.5, "Invalid: Exceeds Allowed Discount", "OK")))</f>
        <v>OK</v>
      </c>
    </row>
    <row r="318" spans="1:30">
      <c r="A318" t="s">
        <v>1610</v>
      </c>
      <c r="B318" t="str">
        <f t="shared" si="4"/>
        <v>Unique</v>
      </c>
      <c r="C318" s="3">
        <v>45338</v>
      </c>
      <c r="D318" s="3">
        <v>45340</v>
      </c>
      <c r="E318" t="s">
        <v>1613</v>
      </c>
      <c r="F318" t="s">
        <v>25</v>
      </c>
      <c r="G318" t="s">
        <v>108</v>
      </c>
      <c r="H318" t="s">
        <v>27</v>
      </c>
      <c r="I318" t="s">
        <v>154</v>
      </c>
      <c r="J318" t="s">
        <v>155</v>
      </c>
      <c r="K318" t="s">
        <v>30</v>
      </c>
      <c r="L318" t="s">
        <v>109</v>
      </c>
      <c r="M318" t="s">
        <v>1614</v>
      </c>
      <c r="N318" t="s">
        <v>67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34</v>
      </c>
      <c r="V318" t="s">
        <v>78</v>
      </c>
      <c r="W318">
        <f>IF(ISBLANK(Q318), 0, IFERROR(VALUE(Q318), 0.7))</f>
        <v>0.2</v>
      </c>
      <c r="X318">
        <f>D318 - C318</f>
        <v>2</v>
      </c>
      <c r="Y318">
        <f>O318 * P318 * (1 - W318)</f>
        <v>3116.0480000000002</v>
      </c>
      <c r="Z318">
        <f>Y318 - S318</f>
        <v>1159.4180000000001</v>
      </c>
      <c r="AA318">
        <f>IFERROR(Z318 / Y318, 0)</f>
        <v>0.37207963420332424</v>
      </c>
      <c r="AB318" t="str">
        <f>TEXT(C318, "mmmm")</f>
        <v>February</v>
      </c>
      <c r="AC318">
        <f>YEAR(C318)</f>
        <v>2024</v>
      </c>
      <c r="AD318" t="str">
        <f>IF(X318&lt;0, "Invalid: Ship Date Before Order Date", IF(W318&lt;0, "Invalid: Negative Discount", IF(W318&gt;0.5, "Invalid: Exceeds Allowed Discount", "OK")))</f>
        <v>OK</v>
      </c>
    </row>
    <row r="319" spans="1:30">
      <c r="A319" t="s">
        <v>1615</v>
      </c>
      <c r="B319" t="str">
        <f t="shared" si="4"/>
        <v>Unique</v>
      </c>
      <c r="C319" s="3">
        <v>45898</v>
      </c>
      <c r="D319" s="3">
        <v>45904</v>
      </c>
      <c r="E319" t="s">
        <v>1618</v>
      </c>
      <c r="F319" t="s">
        <v>93</v>
      </c>
      <c r="G319" t="s">
        <v>108</v>
      </c>
      <c r="H319" t="s">
        <v>62</v>
      </c>
      <c r="I319" t="s">
        <v>242</v>
      </c>
      <c r="J319" t="s">
        <v>243</v>
      </c>
      <c r="K319" t="s">
        <v>45</v>
      </c>
      <c r="L319" t="s">
        <v>46</v>
      </c>
      <c r="M319" t="s">
        <v>1619</v>
      </c>
      <c r="N319" t="s">
        <v>56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34</v>
      </c>
      <c r="V319" t="s">
        <v>35</v>
      </c>
      <c r="W319">
        <f>IF(ISBLANK(Q319), 0, IFERROR(VALUE(Q319), 0.7))</f>
        <v>0.15</v>
      </c>
      <c r="X319">
        <f>D319 - C319</f>
        <v>6</v>
      </c>
      <c r="Y319">
        <f>O319 * P319 * (1 - W319)</f>
        <v>22926.820499999998</v>
      </c>
      <c r="Z319">
        <f>Y319 - S319</f>
        <v>8305.2304999999978</v>
      </c>
      <c r="AA319">
        <f>IFERROR(Z319 / Y319, 0)</f>
        <v>0.36224955396671765</v>
      </c>
      <c r="AB319" t="str">
        <f>TEXT(C319, "mmmm")</f>
        <v>August</v>
      </c>
      <c r="AC319">
        <f>YEAR(C319)</f>
        <v>2025</v>
      </c>
      <c r="AD319" t="str">
        <f>IF(X319&lt;0, "Invalid: Ship Date Before Order Date", IF(W319&lt;0, "Invalid: Negative Discount", IF(W319&gt;0.5, "Invalid: Exceeds Allowed Discount", "OK")))</f>
        <v>OK</v>
      </c>
    </row>
    <row r="320" spans="1:30">
      <c r="A320" t="s">
        <v>1620</v>
      </c>
      <c r="B320" t="str">
        <f t="shared" si="4"/>
        <v>Unique</v>
      </c>
      <c r="C320" s="3">
        <v>45407</v>
      </c>
      <c r="D320" s="3">
        <v>45412</v>
      </c>
      <c r="E320" t="s">
        <v>1623</v>
      </c>
      <c r="F320" t="s">
        <v>40</v>
      </c>
      <c r="G320" t="s">
        <v>41</v>
      </c>
      <c r="H320" t="s">
        <v>62</v>
      </c>
      <c r="I320" t="s">
        <v>229</v>
      </c>
      <c r="J320" t="s">
        <v>230</v>
      </c>
      <c r="K320" t="s">
        <v>86</v>
      </c>
      <c r="L320" t="s">
        <v>223</v>
      </c>
      <c r="M320" t="s">
        <v>1624</v>
      </c>
      <c r="N320" t="s">
        <v>67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34</v>
      </c>
      <c r="V320" t="s">
        <v>35</v>
      </c>
      <c r="W320">
        <f>IF(ISBLANK(Q320), 0, IFERROR(VALUE(Q320), 0.7))</f>
        <v>0.1</v>
      </c>
      <c r="X320">
        <f>D320 - C320</f>
        <v>5</v>
      </c>
      <c r="Y320">
        <f>O320 * P320 * (1 - W320)</f>
        <v>11203.542000000001</v>
      </c>
      <c r="Z320">
        <f>Y320 - S320</f>
        <v>2750.612000000001</v>
      </c>
      <c r="AA320">
        <f>IFERROR(Z320 / Y320, 0)</f>
        <v>0.24551271374713468</v>
      </c>
      <c r="AB320" t="str">
        <f>TEXT(C320, "mmmm")</f>
        <v>April</v>
      </c>
      <c r="AC320">
        <f>YEAR(C320)</f>
        <v>2024</v>
      </c>
      <c r="AD320" t="str">
        <f>IF(X320&lt;0, "Invalid: Ship Date Before Order Date", IF(W320&lt;0, "Invalid: Negative Discount", IF(W320&gt;0.5, "Invalid: Exceeds Allowed Discount", "OK")))</f>
        <v>OK</v>
      </c>
    </row>
    <row r="321" spans="1:30">
      <c r="A321" t="s">
        <v>1625</v>
      </c>
      <c r="B321" t="str">
        <f t="shared" si="4"/>
        <v>Unique</v>
      </c>
      <c r="C321" s="3">
        <v>45525</v>
      </c>
      <c r="D321" s="3">
        <v>45529</v>
      </c>
      <c r="E321" t="s">
        <v>1628</v>
      </c>
      <c r="F321" t="s">
        <v>210</v>
      </c>
      <c r="G321" t="s">
        <v>26</v>
      </c>
      <c r="H321" t="s">
        <v>73</v>
      </c>
      <c r="I321" t="s">
        <v>235</v>
      </c>
      <c r="J321" t="s">
        <v>236</v>
      </c>
      <c r="K321" t="s">
        <v>30</v>
      </c>
      <c r="L321" t="s">
        <v>198</v>
      </c>
      <c r="M321" t="s">
        <v>1629</v>
      </c>
      <c r="N321" t="s">
        <v>56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34</v>
      </c>
      <c r="V321" t="s">
        <v>35</v>
      </c>
      <c r="W321">
        <f>IF(ISBLANK(Q321), 0, IFERROR(VALUE(Q321), 0.7))</f>
        <v>0</v>
      </c>
      <c r="X321">
        <f>D321 - C321</f>
        <v>4</v>
      </c>
      <c r="Y321">
        <f>O321 * P321 * (1 - W321)</f>
        <v>270.27999999999997</v>
      </c>
      <c r="Z321">
        <f>Y321 - S321</f>
        <v>113.93999999999997</v>
      </c>
      <c r="AA321">
        <f>IFERROR(Z321 / Y321, 0)</f>
        <v>0.42156282373834536</v>
      </c>
      <c r="AB321" t="str">
        <f>TEXT(C321, "mmmm")</f>
        <v>August</v>
      </c>
      <c r="AC321">
        <f>YEAR(C321)</f>
        <v>2024</v>
      </c>
      <c r="AD321" t="str">
        <f>IF(X321&lt;0, "Invalid: Ship Date Before Order Date", IF(W321&lt;0, "Invalid: Negative Discount", IF(W321&gt;0.5, "Invalid: Exceeds Allowed Discount", "OK")))</f>
        <v>OK</v>
      </c>
    </row>
    <row r="322" spans="1:30">
      <c r="A322" t="s">
        <v>1630</v>
      </c>
      <c r="B322" t="str">
        <f t="shared" si="4"/>
        <v>Unique</v>
      </c>
      <c r="C322" s="3">
        <v>45630</v>
      </c>
      <c r="D322" s="3">
        <v>45632</v>
      </c>
      <c r="E322" t="s">
        <v>1633</v>
      </c>
      <c r="F322" t="s">
        <v>162</v>
      </c>
      <c r="G322" t="s">
        <v>115</v>
      </c>
      <c r="H322" t="s">
        <v>42</v>
      </c>
      <c r="I322" t="s">
        <v>121</v>
      </c>
      <c r="J322" t="s">
        <v>122</v>
      </c>
      <c r="K322" t="s">
        <v>30</v>
      </c>
      <c r="L322" t="s">
        <v>54</v>
      </c>
      <c r="M322" t="s">
        <v>1634</v>
      </c>
      <c r="N322" t="s">
        <v>33</v>
      </c>
      <c r="O322">
        <v>3</v>
      </c>
      <c r="P322">
        <v>876.14</v>
      </c>
      <c r="Q322" t="s">
        <v>681</v>
      </c>
      <c r="R322">
        <v>2628.42</v>
      </c>
      <c r="S322">
        <v>1541.54</v>
      </c>
      <c r="T322">
        <v>1086.8800000000001</v>
      </c>
      <c r="U322" t="s">
        <v>137</v>
      </c>
      <c r="V322" t="s">
        <v>125</v>
      </c>
      <c r="W322">
        <f>IF(ISBLANK(Q322), 0, IFERROR(VALUE(Q322), 0.7))</f>
        <v>0.7</v>
      </c>
      <c r="X322">
        <f>D322 - C322</f>
        <v>2</v>
      </c>
      <c r="Y322">
        <f>O322 * P322 * (1 - W322)</f>
        <v>788.52600000000018</v>
      </c>
      <c r="Z322">
        <f>Y322 - S322</f>
        <v>-753.01399999999978</v>
      </c>
      <c r="AA322">
        <f>IFERROR(Z322 / Y322, 0)</f>
        <v>-0.95496407220560842</v>
      </c>
      <c r="AB322" t="str">
        <f>TEXT(C322, "mmmm")</f>
        <v>December</v>
      </c>
      <c r="AC322">
        <f>YEAR(C322)</f>
        <v>2024</v>
      </c>
      <c r="AD322" t="str">
        <f>IF(X322&lt;0, "Invalid: Ship Date Before Order Date", IF(W322&lt;0, "Invalid: Negative Discount", IF(W322&gt;0.5, "Invalid: Exceeds Allowed Discount", "OK")))</f>
        <v>Invalid: Exceeds Allowed Discount</v>
      </c>
    </row>
    <row r="323" spans="1:30">
      <c r="A323" t="s">
        <v>1635</v>
      </c>
      <c r="B323" t="str">
        <f t="shared" ref="B323:B386" si="5">IF(COUNTIF(A:A, A323)&gt;1, "Review: Duplicate Order ID", "Unique")</f>
        <v>Unique</v>
      </c>
      <c r="C323" s="3">
        <v>45466</v>
      </c>
      <c r="D323" s="3">
        <v>45473</v>
      </c>
      <c r="E323" t="s">
        <v>1638</v>
      </c>
      <c r="F323" t="s">
        <v>93</v>
      </c>
      <c r="G323" t="s">
        <v>41</v>
      </c>
      <c r="H323" t="s">
        <v>73</v>
      </c>
      <c r="I323" t="s">
        <v>249</v>
      </c>
      <c r="J323" t="s">
        <v>250</v>
      </c>
      <c r="K323" t="s">
        <v>86</v>
      </c>
      <c r="L323" t="s">
        <v>87</v>
      </c>
      <c r="M323" t="s">
        <v>1639</v>
      </c>
      <c r="N323" t="s">
        <v>48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200</v>
      </c>
      <c r="V323" t="s">
        <v>78</v>
      </c>
      <c r="W323">
        <f>IF(ISBLANK(Q323), 0, IFERROR(VALUE(Q323), 0.7))</f>
        <v>0</v>
      </c>
      <c r="X323">
        <f>D323 - C323</f>
        <v>7</v>
      </c>
      <c r="Y323">
        <f>O323 * P323 * (1 - W323)</f>
        <v>2699.28</v>
      </c>
      <c r="Z323">
        <f>Y323 - S323</f>
        <v>939.52000000000021</v>
      </c>
      <c r="AA323">
        <f>IFERROR(Z323 / Y323, 0)</f>
        <v>0.34806318722029583</v>
      </c>
      <c r="AB323" t="str">
        <f>TEXT(C323, "mmmm")</f>
        <v>June</v>
      </c>
      <c r="AC323">
        <f>YEAR(C323)</f>
        <v>2024</v>
      </c>
      <c r="AD323" t="str">
        <f>IF(X323&lt;0, "Invalid: Ship Date Before Order Date", IF(W323&lt;0, "Invalid: Negative Discount", IF(W323&gt;0.5, "Invalid: Exceeds Allowed Discount", "OK")))</f>
        <v>OK</v>
      </c>
    </row>
    <row r="324" spans="1:30">
      <c r="A324" t="s">
        <v>1640</v>
      </c>
      <c r="B324" t="str">
        <f t="shared" si="5"/>
        <v>Unique</v>
      </c>
      <c r="C324" s="3">
        <v>45608</v>
      </c>
      <c r="D324" s="3">
        <v>45637</v>
      </c>
      <c r="E324" t="s">
        <v>1642</v>
      </c>
      <c r="F324" t="s">
        <v>53</v>
      </c>
      <c r="G324" t="s">
        <v>26</v>
      </c>
      <c r="H324" t="s">
        <v>27</v>
      </c>
      <c r="I324" t="s">
        <v>174</v>
      </c>
      <c r="J324" t="s">
        <v>175</v>
      </c>
      <c r="K324" t="s">
        <v>86</v>
      </c>
      <c r="L324" t="s">
        <v>223</v>
      </c>
      <c r="M324" t="s">
        <v>1643</v>
      </c>
      <c r="N324" t="s">
        <v>33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34</v>
      </c>
      <c r="V324" t="s">
        <v>35</v>
      </c>
      <c r="W324">
        <f>IF(ISBLANK(Q324), 0, IFERROR(VALUE(Q324), 0.7))</f>
        <v>0.15</v>
      </c>
      <c r="X324">
        <f>D324 - C324</f>
        <v>29</v>
      </c>
      <c r="Y324">
        <f>O324 * P324 * (1 - W324)</f>
        <v>6984.3480000000009</v>
      </c>
      <c r="Z324">
        <f>Y324 - S324</f>
        <v>2960.7180000000008</v>
      </c>
      <c r="AA324">
        <f>IFERROR(Z324 / Y324, 0)</f>
        <v>0.42390757161584736</v>
      </c>
      <c r="AB324" t="str">
        <f>TEXT(C324, "mmmm")</f>
        <v>November</v>
      </c>
      <c r="AC324">
        <f>YEAR(C324)</f>
        <v>2024</v>
      </c>
      <c r="AD324" t="str">
        <f>IF(X324&lt;0, "Invalid: Ship Date Before Order Date", IF(W324&lt;0, "Invalid: Negative Discount", IF(W324&gt;0.5, "Invalid: Exceeds Allowed Discount", "OK")))</f>
        <v>OK</v>
      </c>
    </row>
    <row r="325" spans="1:30">
      <c r="A325" t="s">
        <v>1644</v>
      </c>
      <c r="B325" t="str">
        <f t="shared" si="5"/>
        <v>Unique</v>
      </c>
      <c r="C325" s="3">
        <v>45347</v>
      </c>
      <c r="D325" s="3">
        <v>45351</v>
      </c>
      <c r="E325" t="s">
        <v>1647</v>
      </c>
      <c r="F325" t="s">
        <v>53</v>
      </c>
      <c r="G325" t="s">
        <v>41</v>
      </c>
      <c r="H325" t="s">
        <v>73</v>
      </c>
      <c r="I325" t="s">
        <v>249</v>
      </c>
      <c r="J325" t="s">
        <v>250</v>
      </c>
      <c r="K325" t="s">
        <v>45</v>
      </c>
      <c r="L325" t="s">
        <v>65</v>
      </c>
      <c r="M325" t="s">
        <v>193</v>
      </c>
      <c r="N325" t="s">
        <v>67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34</v>
      </c>
      <c r="V325" t="s">
        <v>35</v>
      </c>
      <c r="W325">
        <f>IF(ISBLANK(Q325), 0, IFERROR(VALUE(Q325), 0.7))</f>
        <v>0.15</v>
      </c>
      <c r="X325">
        <f>D325 - C325</f>
        <v>4</v>
      </c>
      <c r="Y325">
        <f>O325 * P325 * (1 - W325)</f>
        <v>10185.669</v>
      </c>
      <c r="Z325">
        <f>Y325 - S325</f>
        <v>3706.3589999999995</v>
      </c>
      <c r="AA325">
        <f>IFERROR(Z325 / Y325, 0)</f>
        <v>0.36387978050337189</v>
      </c>
      <c r="AB325" t="str">
        <f>TEXT(C325, "mmmm")</f>
        <v>February</v>
      </c>
      <c r="AC325">
        <f>YEAR(C325)</f>
        <v>2024</v>
      </c>
      <c r="AD325" t="str">
        <f>IF(X325&lt;0, "Invalid: Ship Date Before Order Date", IF(W325&lt;0, "Invalid: Negative Discount", IF(W325&gt;0.5, "Invalid: Exceeds Allowed Discount", "OK")))</f>
        <v>OK</v>
      </c>
    </row>
    <row r="326" spans="1:30">
      <c r="A326" t="s">
        <v>1648</v>
      </c>
      <c r="B326" t="str">
        <f t="shared" si="5"/>
        <v>Unique</v>
      </c>
      <c r="C326" s="3">
        <v>45869</v>
      </c>
      <c r="D326" s="3">
        <v>45696</v>
      </c>
      <c r="E326" t="s">
        <v>1650</v>
      </c>
      <c r="F326" t="s">
        <v>180</v>
      </c>
      <c r="G326" t="s">
        <v>115</v>
      </c>
      <c r="H326" t="s">
        <v>62</v>
      </c>
      <c r="I326" t="s">
        <v>100</v>
      </c>
      <c r="J326" t="s">
        <v>101</v>
      </c>
      <c r="K326" t="s">
        <v>30</v>
      </c>
      <c r="L326" t="s">
        <v>109</v>
      </c>
      <c r="M326" t="s">
        <v>1651</v>
      </c>
      <c r="N326" t="s">
        <v>48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34</v>
      </c>
      <c r="V326" t="s">
        <v>125</v>
      </c>
      <c r="W326">
        <f>IF(ISBLANK(Q326), 0, IFERROR(VALUE(Q326), 0.7))</f>
        <v>0.15</v>
      </c>
      <c r="X326">
        <f>D326 - C326</f>
        <v>-173</v>
      </c>
      <c r="Y326">
        <f>O326 * P326 * (1 - W326)</f>
        <v>1655.6980000000001</v>
      </c>
      <c r="Z326">
        <f>Y326 - S326</f>
        <v>300.89800000000014</v>
      </c>
      <c r="AA326">
        <f>IFERROR(Z326 / Y326, 0)</f>
        <v>0.1817348332848141</v>
      </c>
      <c r="AB326" t="str">
        <f>TEXT(C326, "mmmm")</f>
        <v>July</v>
      </c>
      <c r="AC326">
        <f>YEAR(C326)</f>
        <v>2025</v>
      </c>
      <c r="AD326" t="str">
        <f>IF(X326&lt;0, "Invalid: Ship Date Before Order Date", IF(W326&lt;0, "Invalid: Negative Discount", IF(W326&gt;0.5, "Invalid: Exceeds Allowed Discount", "OK")))</f>
        <v>Invalid: Ship Date Before Order Date</v>
      </c>
    </row>
    <row r="327" spans="1:30">
      <c r="A327" t="s">
        <v>1652</v>
      </c>
      <c r="B327" t="str">
        <f t="shared" si="5"/>
        <v>Unique</v>
      </c>
      <c r="C327" s="3">
        <v>45916</v>
      </c>
      <c r="D327" s="3">
        <v>45922</v>
      </c>
      <c r="E327" t="s">
        <v>1655</v>
      </c>
      <c r="F327" t="s">
        <v>168</v>
      </c>
      <c r="G327" t="s">
        <v>115</v>
      </c>
      <c r="H327" t="s">
        <v>42</v>
      </c>
      <c r="I327" t="s">
        <v>121</v>
      </c>
      <c r="J327" t="s">
        <v>122</v>
      </c>
      <c r="K327" t="s">
        <v>86</v>
      </c>
      <c r="L327" t="s">
        <v>94</v>
      </c>
      <c r="M327" t="s">
        <v>1656</v>
      </c>
      <c r="N327" t="s">
        <v>33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34</v>
      </c>
      <c r="V327" t="s">
        <v>35</v>
      </c>
      <c r="W327">
        <f>IF(ISBLANK(Q327), 0, IFERROR(VALUE(Q327), 0.7))</f>
        <v>0.15</v>
      </c>
      <c r="X327">
        <f>D327 - C327</f>
        <v>6</v>
      </c>
      <c r="Y327">
        <f>O327 * P327 * (1 - W327)</f>
        <v>15602.6</v>
      </c>
      <c r="Z327">
        <f>Y327 - S327</f>
        <v>3694.08</v>
      </c>
      <c r="AA327">
        <f>IFERROR(Z327 / Y327, 0)</f>
        <v>0.236760539910015</v>
      </c>
      <c r="AB327" t="str">
        <f>TEXT(C327, "mmmm")</f>
        <v>September</v>
      </c>
      <c r="AC327">
        <f>YEAR(C327)</f>
        <v>2025</v>
      </c>
      <c r="AD327" t="str">
        <f>IF(X327&lt;0, "Invalid: Ship Date Before Order Date", IF(W327&lt;0, "Invalid: Negative Discount", IF(W327&gt;0.5, "Invalid: Exceeds Allowed Discount", "OK")))</f>
        <v>OK</v>
      </c>
    </row>
    <row r="328" spans="1:30">
      <c r="A328" t="s">
        <v>1657</v>
      </c>
      <c r="B328" t="str">
        <f t="shared" si="5"/>
        <v>Unique</v>
      </c>
      <c r="C328" s="3">
        <v>45860</v>
      </c>
      <c r="D328" s="3">
        <v>45860</v>
      </c>
      <c r="E328" t="s">
        <v>1659</v>
      </c>
      <c r="F328" t="s">
        <v>168</v>
      </c>
      <c r="G328" t="s">
        <v>108</v>
      </c>
      <c r="H328" t="s">
        <v>42</v>
      </c>
      <c r="I328" t="s">
        <v>311</v>
      </c>
      <c r="J328" t="s">
        <v>312</v>
      </c>
      <c r="K328" t="s">
        <v>45</v>
      </c>
      <c r="L328" t="s">
        <v>65</v>
      </c>
      <c r="M328" t="s">
        <v>1660</v>
      </c>
      <c r="N328" t="s">
        <v>48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34</v>
      </c>
      <c r="V328" t="s">
        <v>35</v>
      </c>
      <c r="W328">
        <f>IF(ISBLANK(Q328), 0, IFERROR(VALUE(Q328), 0.7))</f>
        <v>0.05</v>
      </c>
      <c r="X328">
        <f>D328 - C328</f>
        <v>0</v>
      </c>
      <c r="Y328">
        <f>O328 * P328 * (1 - W328)</f>
        <v>15138.487499999999</v>
      </c>
      <c r="Z328">
        <f>Y328 - S328</f>
        <v>3902.7674999999999</v>
      </c>
      <c r="AA328">
        <f>IFERROR(Z328 / Y328, 0)</f>
        <v>0.25780432160082045</v>
      </c>
      <c r="AB328" t="str">
        <f>TEXT(C328, "mmmm")</f>
        <v>July</v>
      </c>
      <c r="AC328">
        <f>YEAR(C328)</f>
        <v>2025</v>
      </c>
      <c r="AD328" t="str">
        <f>IF(X328&lt;0, "Invalid: Ship Date Before Order Date", IF(W328&lt;0, "Invalid: Negative Discount", IF(W328&gt;0.5, "Invalid: Exceeds Allowed Discount", "OK")))</f>
        <v>OK</v>
      </c>
    </row>
    <row r="329" spans="1:30">
      <c r="A329" t="s">
        <v>1661</v>
      </c>
      <c r="B329" t="str">
        <f t="shared" si="5"/>
        <v>Unique</v>
      </c>
      <c r="C329" s="3">
        <v>45497</v>
      </c>
      <c r="D329" s="3">
        <v>45500</v>
      </c>
      <c r="E329" t="s">
        <v>1663</v>
      </c>
      <c r="F329" t="s">
        <v>53</v>
      </c>
      <c r="G329" t="s">
        <v>26</v>
      </c>
      <c r="H329" t="s">
        <v>73</v>
      </c>
      <c r="I329" t="s">
        <v>28</v>
      </c>
      <c r="J329" t="s">
        <v>135</v>
      </c>
      <c r="K329" t="s">
        <v>86</v>
      </c>
      <c r="L329" t="s">
        <v>87</v>
      </c>
      <c r="M329" t="s">
        <v>1664</v>
      </c>
      <c r="N329" t="s">
        <v>33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137</v>
      </c>
      <c r="V329" t="s">
        <v>78</v>
      </c>
      <c r="W329">
        <f>IF(ISBLANK(Q329), 0, IFERROR(VALUE(Q329), 0.7))</f>
        <v>0.2</v>
      </c>
      <c r="X329">
        <f>D329 - C329</f>
        <v>3</v>
      </c>
      <c r="Y329">
        <f>O329 * P329 * (1 - W329)</f>
        <v>4402.92</v>
      </c>
      <c r="Z329">
        <f>Y329 - S329</f>
        <v>1408.98</v>
      </c>
      <c r="AA329">
        <f>IFERROR(Z329 / Y329, 0)</f>
        <v>0.32001035676323897</v>
      </c>
      <c r="AB329" t="str">
        <f>TEXT(C329, "mmmm")</f>
        <v>July</v>
      </c>
      <c r="AC329">
        <f>YEAR(C329)</f>
        <v>2024</v>
      </c>
      <c r="AD329" t="str">
        <f>IF(X329&lt;0, "Invalid: Ship Date Before Order Date", IF(W329&lt;0, "Invalid: Negative Discount", IF(W329&gt;0.5, "Invalid: Exceeds Allowed Discount", "OK")))</f>
        <v>OK</v>
      </c>
    </row>
    <row r="330" spans="1:30">
      <c r="A330" t="s">
        <v>1665</v>
      </c>
      <c r="B330" t="str">
        <f t="shared" si="5"/>
        <v>Unique</v>
      </c>
      <c r="C330" s="3">
        <v>45806</v>
      </c>
      <c r="D330" s="3">
        <v>45812</v>
      </c>
      <c r="E330" t="s">
        <v>1667</v>
      </c>
      <c r="F330" t="s">
        <v>210</v>
      </c>
      <c r="G330" t="s">
        <v>26</v>
      </c>
      <c r="H330" t="s">
        <v>73</v>
      </c>
      <c r="I330" t="s">
        <v>74</v>
      </c>
      <c r="J330" t="s">
        <v>75</v>
      </c>
      <c r="K330" t="s">
        <v>30</v>
      </c>
      <c r="L330" t="s">
        <v>156</v>
      </c>
      <c r="M330" t="s">
        <v>1668</v>
      </c>
      <c r="N330" t="s">
        <v>56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34</v>
      </c>
      <c r="V330" t="s">
        <v>35</v>
      </c>
      <c r="W330">
        <f>IF(ISBLANK(Q330), 0, IFERROR(VALUE(Q330), 0.7))</f>
        <v>0</v>
      </c>
      <c r="X330">
        <f>D330 - C330</f>
        <v>6</v>
      </c>
      <c r="Y330">
        <f>O330 * P330 * (1 - W330)</f>
        <v>18604.079999999998</v>
      </c>
      <c r="Z330">
        <f>Y330 - S330</f>
        <v>2769.7799999999988</v>
      </c>
      <c r="AA330">
        <f>IFERROR(Z330 / Y330, 0)</f>
        <v>0.1488802456235406</v>
      </c>
      <c r="AB330" t="str">
        <f>TEXT(C330, "mmmm")</f>
        <v>May</v>
      </c>
      <c r="AC330">
        <f>YEAR(C330)</f>
        <v>2025</v>
      </c>
      <c r="AD330" t="str">
        <f>IF(X330&lt;0, "Invalid: Ship Date Before Order Date", IF(W330&lt;0, "Invalid: Negative Discount", IF(W330&gt;0.5, "Invalid: Exceeds Allowed Discount", "OK")))</f>
        <v>OK</v>
      </c>
    </row>
    <row r="331" spans="1:30">
      <c r="A331" t="s">
        <v>1669</v>
      </c>
      <c r="B331" t="str">
        <f t="shared" si="5"/>
        <v>Unique</v>
      </c>
      <c r="C331" s="3">
        <v>45789</v>
      </c>
      <c r="D331" s="3">
        <v>45795</v>
      </c>
      <c r="E331" t="s">
        <v>1672</v>
      </c>
      <c r="F331" t="s">
        <v>93</v>
      </c>
      <c r="G331" t="s">
        <v>41</v>
      </c>
      <c r="H331" t="s">
        <v>73</v>
      </c>
      <c r="I331" t="s">
        <v>74</v>
      </c>
      <c r="J331" t="s">
        <v>75</v>
      </c>
      <c r="K331" t="s">
        <v>30</v>
      </c>
      <c r="L331" t="s">
        <v>156</v>
      </c>
      <c r="M331" t="s">
        <v>1673</v>
      </c>
      <c r="N331" t="s">
        <v>67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34</v>
      </c>
      <c r="V331" t="s">
        <v>35</v>
      </c>
      <c r="W331">
        <f>IF(ISBLANK(Q331), 0, IFERROR(VALUE(Q331), 0.7))</f>
        <v>0.05</v>
      </c>
      <c r="X331">
        <f>D331 - C331</f>
        <v>6</v>
      </c>
      <c r="Y331">
        <f>O331 * P331 * (1 - W331)</f>
        <v>15401.513999999999</v>
      </c>
      <c r="Z331">
        <f>Y331 - S331</f>
        <v>6751.0939999999991</v>
      </c>
      <c r="AA331">
        <f>IFERROR(Z331 / Y331, 0)</f>
        <v>0.43833963336331738</v>
      </c>
      <c r="AB331" t="str">
        <f>TEXT(C331, "mmmm")</f>
        <v>May</v>
      </c>
      <c r="AC331">
        <f>YEAR(C331)</f>
        <v>2025</v>
      </c>
      <c r="AD331" t="str">
        <f>IF(X331&lt;0, "Invalid: Ship Date Before Order Date", IF(W331&lt;0, "Invalid: Negative Discount", IF(W331&gt;0.5, "Invalid: Exceeds Allowed Discount", "OK")))</f>
        <v>OK</v>
      </c>
    </row>
    <row r="332" spans="1:30">
      <c r="A332" t="s">
        <v>1674</v>
      </c>
      <c r="B332" t="str">
        <f t="shared" si="5"/>
        <v>Unique</v>
      </c>
      <c r="C332" s="3">
        <v>45428</v>
      </c>
      <c r="D332" s="3">
        <v>45436</v>
      </c>
      <c r="E332" t="s">
        <v>1675</v>
      </c>
      <c r="F332" t="s">
        <v>61</v>
      </c>
      <c r="G332" t="s">
        <v>115</v>
      </c>
      <c r="H332" t="s">
        <v>27</v>
      </c>
      <c r="I332" t="s">
        <v>154</v>
      </c>
      <c r="J332" t="s">
        <v>155</v>
      </c>
      <c r="K332" t="s">
        <v>86</v>
      </c>
      <c r="L332" t="s">
        <v>87</v>
      </c>
      <c r="M332" t="s">
        <v>1676</v>
      </c>
      <c r="N332" t="s">
        <v>48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200</v>
      </c>
      <c r="V332" t="s">
        <v>78</v>
      </c>
      <c r="W332">
        <f>IF(ISBLANK(Q332), 0, IFERROR(VALUE(Q332), 0.7))</f>
        <v>0</v>
      </c>
      <c r="X332">
        <f>D332 - C332</f>
        <v>8</v>
      </c>
      <c r="Y332">
        <f>O332 * P332 * (1 - W332)</f>
        <v>783.09</v>
      </c>
      <c r="Z332">
        <f>Y332 - S332</f>
        <v>279.20000000000005</v>
      </c>
      <c r="AA332">
        <f>IFERROR(Z332 / Y332, 0)</f>
        <v>0.3565362857398256</v>
      </c>
      <c r="AB332" t="str">
        <f>TEXT(C332, "mmmm")</f>
        <v>May</v>
      </c>
      <c r="AC332">
        <f>YEAR(C332)</f>
        <v>2024</v>
      </c>
      <c r="AD332" t="str">
        <f>IF(X332&lt;0, "Invalid: Ship Date Before Order Date", IF(W332&lt;0, "Invalid: Negative Discount", IF(W332&gt;0.5, "Invalid: Exceeds Allowed Discount", "OK")))</f>
        <v>OK</v>
      </c>
    </row>
    <row r="333" spans="1:30">
      <c r="A333" t="s">
        <v>1677</v>
      </c>
      <c r="B333" t="str">
        <f t="shared" si="5"/>
        <v>Review: Duplicate Order ID</v>
      </c>
      <c r="C333" s="3">
        <v>45394</v>
      </c>
      <c r="D333" s="3">
        <v>45632</v>
      </c>
      <c r="E333" t="s">
        <v>1679</v>
      </c>
      <c r="F333" t="s">
        <v>168</v>
      </c>
      <c r="G333" t="s">
        <v>115</v>
      </c>
      <c r="H333" t="s">
        <v>42</v>
      </c>
      <c r="I333" t="s">
        <v>43</v>
      </c>
      <c r="J333" t="s">
        <v>44</v>
      </c>
      <c r="K333" t="s">
        <v>30</v>
      </c>
      <c r="L333" t="s">
        <v>198</v>
      </c>
      <c r="M333" t="s">
        <v>1680</v>
      </c>
      <c r="N333" t="s">
        <v>33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34</v>
      </c>
      <c r="V333" t="s">
        <v>125</v>
      </c>
      <c r="W333">
        <f>IF(ISBLANK(Q333), 0, IFERROR(VALUE(Q333), 0.7))</f>
        <v>0</v>
      </c>
      <c r="X333">
        <f>D333 - C333</f>
        <v>238</v>
      </c>
      <c r="Y333">
        <f>O333 * P333 * (1 - W333)</f>
        <v>10742.64</v>
      </c>
      <c r="Z333">
        <f>Y333 - S333</f>
        <v>4265.2699999999995</v>
      </c>
      <c r="AA333">
        <f>IFERROR(Z333 / Y333, 0)</f>
        <v>0.39704113700170535</v>
      </c>
      <c r="AB333" t="str">
        <f>TEXT(C333, "mmmm")</f>
        <v>April</v>
      </c>
      <c r="AC333">
        <f>YEAR(C333)</f>
        <v>2024</v>
      </c>
      <c r="AD333" t="str">
        <f>IF(X333&lt;0, "Invalid: Ship Date Before Order Date", IF(W333&lt;0, "Invalid: Negative Discount", IF(W333&gt;0.5, "Invalid: Exceeds Allowed Discount", "OK")))</f>
        <v>OK</v>
      </c>
    </row>
    <row r="334" spans="1:30">
      <c r="A334" t="s">
        <v>1681</v>
      </c>
      <c r="B334" t="str">
        <f t="shared" si="5"/>
        <v>Unique</v>
      </c>
      <c r="C334" s="3">
        <v>45804</v>
      </c>
      <c r="D334" s="3">
        <v>45805</v>
      </c>
      <c r="E334" t="s">
        <v>1684</v>
      </c>
      <c r="F334" t="s">
        <v>162</v>
      </c>
      <c r="G334" t="s">
        <v>26</v>
      </c>
      <c r="H334" t="s">
        <v>62</v>
      </c>
      <c r="I334" t="s">
        <v>100</v>
      </c>
      <c r="J334" t="s">
        <v>101</v>
      </c>
      <c r="K334" t="s">
        <v>86</v>
      </c>
      <c r="L334" t="s">
        <v>382</v>
      </c>
      <c r="M334" t="s">
        <v>1686</v>
      </c>
      <c r="N334" t="s">
        <v>33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34</v>
      </c>
      <c r="V334" t="s">
        <v>35</v>
      </c>
      <c r="W334">
        <f>IF(ISBLANK(Q334), 0, IFERROR(VALUE(Q334), 0.7))</f>
        <v>0</v>
      </c>
      <c r="X334">
        <f>D334 - C334</f>
        <v>1</v>
      </c>
      <c r="Y334">
        <f>O334 * P334 * (1 - W334)</f>
        <v>7823.92</v>
      </c>
      <c r="Z334">
        <f>Y334 - S334</f>
        <v>1789.29</v>
      </c>
      <c r="AA334">
        <f>IFERROR(Z334 / Y334, 0)</f>
        <v>0.22869482305545047</v>
      </c>
      <c r="AB334" t="str">
        <f>TEXT(C334, "mmmm")</f>
        <v>May</v>
      </c>
      <c r="AC334">
        <f>YEAR(C334)</f>
        <v>2025</v>
      </c>
      <c r="AD334" t="str">
        <f>IF(X334&lt;0, "Invalid: Ship Date Before Order Date", IF(W334&lt;0, "Invalid: Negative Discount", IF(W334&gt;0.5, "Invalid: Exceeds Allowed Discount", "OK")))</f>
        <v>OK</v>
      </c>
    </row>
    <row r="335" spans="1:30">
      <c r="A335" t="s">
        <v>1687</v>
      </c>
      <c r="B335" t="str">
        <f t="shared" si="5"/>
        <v>Unique</v>
      </c>
      <c r="C335" s="3">
        <v>45830</v>
      </c>
      <c r="D335" s="3">
        <v>45835</v>
      </c>
      <c r="E335" t="s">
        <v>1690</v>
      </c>
      <c r="F335" t="s">
        <v>180</v>
      </c>
      <c r="G335" t="s">
        <v>115</v>
      </c>
      <c r="H335" t="s">
        <v>4110</v>
      </c>
      <c r="I335" t="s">
        <v>506</v>
      </c>
      <c r="J335" t="s">
        <v>507</v>
      </c>
      <c r="K335" t="s">
        <v>86</v>
      </c>
      <c r="L335" t="s">
        <v>223</v>
      </c>
      <c r="M335" t="s">
        <v>1691</v>
      </c>
      <c r="N335" t="s">
        <v>56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34</v>
      </c>
      <c r="V335" t="s">
        <v>35</v>
      </c>
      <c r="W335">
        <f>IF(ISBLANK(Q335), 0, IFERROR(VALUE(Q335), 0.7))</f>
        <v>0</v>
      </c>
      <c r="X335">
        <f>D335 - C335</f>
        <v>5</v>
      </c>
      <c r="Y335">
        <f>O335 * P335 * (1 - W335)</f>
        <v>2936.1</v>
      </c>
      <c r="Z335">
        <f>Y335 - S335</f>
        <v>1013</v>
      </c>
      <c r="AA335">
        <f>IFERROR(Z335 / Y335, 0)</f>
        <v>0.34501549674738602</v>
      </c>
      <c r="AB335" t="str">
        <f>TEXT(C335, "mmmm")</f>
        <v>June</v>
      </c>
      <c r="AC335">
        <f>YEAR(C335)</f>
        <v>2025</v>
      </c>
      <c r="AD335" t="str">
        <f>IF(X335&lt;0, "Invalid: Ship Date Before Order Date", IF(W335&lt;0, "Invalid: Negative Discount", IF(W335&gt;0.5, "Invalid: Exceeds Allowed Discount", "OK")))</f>
        <v>OK</v>
      </c>
    </row>
    <row r="336" spans="1:30">
      <c r="A336" t="s">
        <v>1692</v>
      </c>
      <c r="B336" t="str">
        <f t="shared" si="5"/>
        <v>Unique</v>
      </c>
      <c r="C336" s="3">
        <v>45547</v>
      </c>
      <c r="D336" s="3">
        <v>45552</v>
      </c>
      <c r="E336" t="s">
        <v>1695</v>
      </c>
      <c r="F336" t="s">
        <v>72</v>
      </c>
      <c r="G336" t="s">
        <v>26</v>
      </c>
      <c r="H336" t="s">
        <v>42</v>
      </c>
      <c r="I336" t="s">
        <v>311</v>
      </c>
      <c r="J336" t="s">
        <v>312</v>
      </c>
      <c r="K336" t="s">
        <v>30</v>
      </c>
      <c r="L336" t="s">
        <v>156</v>
      </c>
      <c r="M336" t="s">
        <v>1696</v>
      </c>
      <c r="N336" t="s">
        <v>56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34</v>
      </c>
      <c r="V336" t="s">
        <v>35</v>
      </c>
      <c r="W336">
        <f>IF(ISBLANK(Q336), 0, IFERROR(VALUE(Q336), 0.7))</f>
        <v>0.25</v>
      </c>
      <c r="X336">
        <f>D336 - C336</f>
        <v>5</v>
      </c>
      <c r="Y336">
        <f>O336 * P336 * (1 - W336)</f>
        <v>12969.922500000001</v>
      </c>
      <c r="Z336">
        <f>Y336 - S336</f>
        <v>3571.4625000000015</v>
      </c>
      <c r="AA336">
        <f>IFERROR(Z336 / Y336, 0)</f>
        <v>0.27536498386941027</v>
      </c>
      <c r="AB336" t="str">
        <f>TEXT(C336, "mmmm")</f>
        <v>September</v>
      </c>
      <c r="AC336">
        <f>YEAR(C336)</f>
        <v>2024</v>
      </c>
      <c r="AD336" t="str">
        <f>IF(X336&lt;0, "Invalid: Ship Date Before Order Date", IF(W336&lt;0, "Invalid: Negative Discount", IF(W336&gt;0.5, "Invalid: Exceeds Allowed Discount", "OK")))</f>
        <v>OK</v>
      </c>
    </row>
    <row r="337" spans="1:30">
      <c r="A337" t="s">
        <v>1697</v>
      </c>
      <c r="B337" t="str">
        <f t="shared" si="5"/>
        <v>Review: Duplicate Order ID</v>
      </c>
      <c r="C337" s="3">
        <v>45824</v>
      </c>
      <c r="D337" s="3">
        <v>45826</v>
      </c>
      <c r="E337" t="s">
        <v>1700</v>
      </c>
      <c r="F337" t="s">
        <v>148</v>
      </c>
      <c r="G337" t="s">
        <v>115</v>
      </c>
      <c r="H337" t="s">
        <v>73</v>
      </c>
      <c r="I337" t="s">
        <v>84</v>
      </c>
      <c r="J337" t="s">
        <v>85</v>
      </c>
      <c r="K337" t="s">
        <v>30</v>
      </c>
      <c r="L337" t="s">
        <v>31</v>
      </c>
      <c r="M337" t="s">
        <v>1701</v>
      </c>
      <c r="N337" t="s">
        <v>56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34</v>
      </c>
      <c r="V337" t="s">
        <v>35</v>
      </c>
      <c r="W337">
        <f>IF(ISBLANK(Q337), 0, IFERROR(VALUE(Q337), 0.7))</f>
        <v>0.1</v>
      </c>
      <c r="X337">
        <f>D337 - C337</f>
        <v>2</v>
      </c>
      <c r="Y337">
        <f>O337 * P337 * (1 - W337)</f>
        <v>11581.299000000001</v>
      </c>
      <c r="Z337">
        <f>Y337 - S337</f>
        <v>4751.8690000000006</v>
      </c>
      <c r="AA337">
        <f>IFERROR(Z337 / Y337, 0)</f>
        <v>0.41030535521101735</v>
      </c>
      <c r="AB337" t="str">
        <f>TEXT(C337, "mmmm")</f>
        <v>June</v>
      </c>
      <c r="AC337">
        <f>YEAR(C337)</f>
        <v>2025</v>
      </c>
      <c r="AD337" t="str">
        <f>IF(X337&lt;0, "Invalid: Ship Date Before Order Date", IF(W337&lt;0, "Invalid: Negative Discount", IF(W337&gt;0.5, "Invalid: Exceeds Allowed Discount", "OK")))</f>
        <v>OK</v>
      </c>
    </row>
    <row r="338" spans="1:30">
      <c r="A338" t="s">
        <v>1702</v>
      </c>
      <c r="B338" t="str">
        <f t="shared" si="5"/>
        <v>Unique</v>
      </c>
      <c r="C338" s="3">
        <v>45368</v>
      </c>
      <c r="D338" s="3">
        <v>45372</v>
      </c>
      <c r="E338" t="s">
        <v>1321</v>
      </c>
      <c r="F338" t="s">
        <v>162</v>
      </c>
      <c r="G338" t="s">
        <v>26</v>
      </c>
      <c r="H338" t="s">
        <v>27</v>
      </c>
      <c r="I338" t="s">
        <v>28</v>
      </c>
      <c r="J338" t="s">
        <v>29</v>
      </c>
      <c r="K338" t="s">
        <v>86</v>
      </c>
      <c r="L338" t="s">
        <v>94</v>
      </c>
      <c r="M338" t="s">
        <v>1704</v>
      </c>
      <c r="N338" t="s">
        <v>56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34</v>
      </c>
      <c r="V338" t="s">
        <v>35</v>
      </c>
      <c r="W338">
        <f>IF(ISBLANK(Q338), 0, IFERROR(VALUE(Q338), 0.7))</f>
        <v>0</v>
      </c>
      <c r="X338">
        <f>D338 - C338</f>
        <v>4</v>
      </c>
      <c r="Y338">
        <f>O338 * P338 * (1 - W338)</f>
        <v>15940.56</v>
      </c>
      <c r="Z338">
        <f>Y338 - S338</f>
        <v>3593.41</v>
      </c>
      <c r="AA338">
        <f>IFERROR(Z338 / Y338, 0)</f>
        <v>0.2254255810335396</v>
      </c>
      <c r="AB338" t="str">
        <f>TEXT(C338, "mmmm")</f>
        <v>March</v>
      </c>
      <c r="AC338">
        <f>YEAR(C338)</f>
        <v>2024</v>
      </c>
      <c r="AD338" t="str">
        <f>IF(X338&lt;0, "Invalid: Ship Date Before Order Date", IF(W338&lt;0, "Invalid: Negative Discount", IF(W338&gt;0.5, "Invalid: Exceeds Allowed Discount", "OK")))</f>
        <v>OK</v>
      </c>
    </row>
    <row r="339" spans="1:30">
      <c r="A339" t="s">
        <v>1705</v>
      </c>
      <c r="B339" t="str">
        <f t="shared" si="5"/>
        <v>Unique</v>
      </c>
      <c r="C339" s="3">
        <v>45516</v>
      </c>
      <c r="D339" s="3">
        <v>45522</v>
      </c>
      <c r="E339" t="s">
        <v>1708</v>
      </c>
      <c r="F339" t="s">
        <v>72</v>
      </c>
      <c r="G339" t="s">
        <v>26</v>
      </c>
      <c r="H339" t="s">
        <v>42</v>
      </c>
      <c r="I339" t="s">
        <v>216</v>
      </c>
      <c r="J339" t="s">
        <v>217</v>
      </c>
      <c r="K339" t="s">
        <v>30</v>
      </c>
      <c r="L339" t="s">
        <v>109</v>
      </c>
      <c r="M339" t="s">
        <v>1709</v>
      </c>
      <c r="N339" t="s">
        <v>48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34</v>
      </c>
      <c r="V339" t="s">
        <v>35</v>
      </c>
      <c r="W339">
        <f>IF(ISBLANK(Q339), 0, IFERROR(VALUE(Q339), 0.7))</f>
        <v>0</v>
      </c>
      <c r="X339">
        <f>D339 - C339</f>
        <v>6</v>
      </c>
      <c r="Y339">
        <f>O339 * P339 * (1 - W339)</f>
        <v>7090.4400000000005</v>
      </c>
      <c r="Z339">
        <f>Y339 - S339</f>
        <v>1418.17</v>
      </c>
      <c r="AA339">
        <f>IFERROR(Z339 / Y339, 0)</f>
        <v>0.20001156486762456</v>
      </c>
      <c r="AB339" t="str">
        <f>TEXT(C339, "mmmm")</f>
        <v>August</v>
      </c>
      <c r="AC339">
        <f>YEAR(C339)</f>
        <v>2024</v>
      </c>
      <c r="AD339" t="str">
        <f>IF(X339&lt;0, "Invalid: Ship Date Before Order Date", IF(W339&lt;0, "Invalid: Negative Discount", IF(W339&gt;0.5, "Invalid: Exceeds Allowed Discount", "OK")))</f>
        <v>OK</v>
      </c>
    </row>
    <row r="340" spans="1:30">
      <c r="A340" t="s">
        <v>1710</v>
      </c>
      <c r="B340" t="str">
        <f t="shared" si="5"/>
        <v>Unique</v>
      </c>
      <c r="C340" s="3">
        <v>45516</v>
      </c>
      <c r="D340" s="3">
        <v>45634</v>
      </c>
      <c r="E340" t="s">
        <v>1712</v>
      </c>
      <c r="F340" t="s">
        <v>61</v>
      </c>
      <c r="G340" t="s">
        <v>41</v>
      </c>
      <c r="H340" t="s">
        <v>62</v>
      </c>
      <c r="I340" t="s">
        <v>100</v>
      </c>
      <c r="J340" t="s">
        <v>101</v>
      </c>
      <c r="K340" t="s">
        <v>86</v>
      </c>
      <c r="L340" t="s">
        <v>87</v>
      </c>
      <c r="M340" t="s">
        <v>1713</v>
      </c>
      <c r="N340" t="s">
        <v>56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34</v>
      </c>
      <c r="V340" t="s">
        <v>35</v>
      </c>
      <c r="W340">
        <f>IF(ISBLANK(Q340), 0, IFERROR(VALUE(Q340), 0.7))</f>
        <v>0.25</v>
      </c>
      <c r="X340">
        <f>D340 - C340</f>
        <v>118</v>
      </c>
      <c r="Y340">
        <f>O340 * P340 * (1 - W340)</f>
        <v>26414.159999999996</v>
      </c>
      <c r="Z340">
        <f>Y340 - S340</f>
        <v>4591.6299999999974</v>
      </c>
      <c r="AA340">
        <f>IFERROR(Z340 / Y340, 0)</f>
        <v>0.17383214154832097</v>
      </c>
      <c r="AB340" t="str">
        <f>TEXT(C340, "mmmm")</f>
        <v>August</v>
      </c>
      <c r="AC340">
        <f>YEAR(C340)</f>
        <v>2024</v>
      </c>
      <c r="AD340" t="str">
        <f>IF(X340&lt;0, "Invalid: Ship Date Before Order Date", IF(W340&lt;0, "Invalid: Negative Discount", IF(W340&gt;0.5, "Invalid: Exceeds Allowed Discount", "OK")))</f>
        <v>OK</v>
      </c>
    </row>
    <row r="341" spans="1:30">
      <c r="A341" t="s">
        <v>1714</v>
      </c>
      <c r="B341" t="str">
        <f t="shared" si="5"/>
        <v>Unique</v>
      </c>
      <c r="C341" s="3">
        <v>45708</v>
      </c>
      <c r="D341" s="3">
        <v>45710</v>
      </c>
      <c r="E341" t="s">
        <v>1716</v>
      </c>
      <c r="F341" t="s">
        <v>93</v>
      </c>
      <c r="G341" t="s">
        <v>108</v>
      </c>
      <c r="H341" t="s">
        <v>42</v>
      </c>
      <c r="I341" t="s">
        <v>311</v>
      </c>
      <c r="J341" t="s">
        <v>312</v>
      </c>
      <c r="K341" t="s">
        <v>45</v>
      </c>
      <c r="L341" t="s">
        <v>204</v>
      </c>
      <c r="M341" t="s">
        <v>1717</v>
      </c>
      <c r="N341" t="s">
        <v>67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34</v>
      </c>
      <c r="V341" t="s">
        <v>35</v>
      </c>
      <c r="W341">
        <f>IF(ISBLANK(Q341), 0, IFERROR(VALUE(Q341), 0.7))</f>
        <v>0.2</v>
      </c>
      <c r="X341">
        <f>D341 - C341</f>
        <v>2</v>
      </c>
      <c r="Y341">
        <f>O341 * P341 * (1 - W341)</f>
        <v>20900.864000000001</v>
      </c>
      <c r="Z341">
        <f>Y341 - S341</f>
        <v>8387.724000000002</v>
      </c>
      <c r="AA341">
        <f>IFERROR(Z341 / Y341, 0)</f>
        <v>0.40130991714026759</v>
      </c>
      <c r="AB341" t="str">
        <f>TEXT(C341, "mmmm")</f>
        <v>February</v>
      </c>
      <c r="AC341">
        <f>YEAR(C341)</f>
        <v>2025</v>
      </c>
      <c r="AD341" t="str">
        <f>IF(X341&lt;0, "Invalid: Ship Date Before Order Date", IF(W341&lt;0, "Invalid: Negative Discount", IF(W341&gt;0.5, "Invalid: Exceeds Allowed Discount", "OK")))</f>
        <v>OK</v>
      </c>
    </row>
    <row r="342" spans="1:30">
      <c r="A342" t="s">
        <v>1718</v>
      </c>
      <c r="B342" t="str">
        <f t="shared" si="5"/>
        <v>Unique</v>
      </c>
      <c r="C342" s="3">
        <v>45312</v>
      </c>
      <c r="D342" s="3">
        <v>45320</v>
      </c>
      <c r="E342" t="s">
        <v>1721</v>
      </c>
      <c r="F342" t="s">
        <v>93</v>
      </c>
      <c r="G342" t="s">
        <v>26</v>
      </c>
      <c r="H342" t="s">
        <v>62</v>
      </c>
      <c r="I342" t="s">
        <v>229</v>
      </c>
      <c r="J342" t="s">
        <v>230</v>
      </c>
      <c r="K342" t="s">
        <v>30</v>
      </c>
      <c r="L342" t="s">
        <v>198</v>
      </c>
      <c r="M342" t="s">
        <v>1722</v>
      </c>
      <c r="N342" t="s">
        <v>67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34</v>
      </c>
      <c r="V342" t="s">
        <v>35</v>
      </c>
      <c r="W342">
        <f>IF(ISBLANK(Q342), 0, IFERROR(VALUE(Q342), 0.7))</f>
        <v>0.1</v>
      </c>
      <c r="X342">
        <f>D342 - C342</f>
        <v>8</v>
      </c>
      <c r="Y342">
        <f>O342 * P342 * (1 - W342)</f>
        <v>18261.36</v>
      </c>
      <c r="Z342">
        <f>Y342 - S342</f>
        <v>6861.42</v>
      </c>
      <c r="AA342">
        <f>IFERROR(Z342 / Y342, 0)</f>
        <v>0.3757343374206521</v>
      </c>
      <c r="AB342" t="str">
        <f>TEXT(C342, "mmmm")</f>
        <v>January</v>
      </c>
      <c r="AC342">
        <f>YEAR(C342)</f>
        <v>2024</v>
      </c>
      <c r="AD342" t="str">
        <f>IF(X342&lt;0, "Invalid: Ship Date Before Order Date", IF(W342&lt;0, "Invalid: Negative Discount", IF(W342&gt;0.5, "Invalid: Exceeds Allowed Discount", "OK")))</f>
        <v>OK</v>
      </c>
    </row>
    <row r="343" spans="1:30">
      <c r="A343" t="s">
        <v>1723</v>
      </c>
      <c r="B343" t="str">
        <f t="shared" si="5"/>
        <v>Unique</v>
      </c>
      <c r="C343" s="3">
        <v>45908</v>
      </c>
      <c r="D343" s="3">
        <v>45909</v>
      </c>
      <c r="E343" t="s">
        <v>1726</v>
      </c>
      <c r="F343" t="s">
        <v>180</v>
      </c>
      <c r="G343" t="s">
        <v>115</v>
      </c>
      <c r="H343" t="s">
        <v>73</v>
      </c>
      <c r="I343" t="s">
        <v>235</v>
      </c>
      <c r="J343" t="s">
        <v>236</v>
      </c>
      <c r="K343" t="s">
        <v>45</v>
      </c>
      <c r="L343" t="s">
        <v>76</v>
      </c>
      <c r="M343" t="s">
        <v>1727</v>
      </c>
      <c r="N343" t="s">
        <v>33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34</v>
      </c>
      <c r="V343" t="s">
        <v>35</v>
      </c>
      <c r="W343">
        <f>IF(ISBLANK(Q343), 0, IFERROR(VALUE(Q343), 0.7))</f>
        <v>0.05</v>
      </c>
      <c r="X343">
        <f>D343 - C343</f>
        <v>1</v>
      </c>
      <c r="Y343">
        <f>O343 * P343 * (1 - W343)</f>
        <v>7524.6269999999995</v>
      </c>
      <c r="Z343">
        <f>Y343 - S343</f>
        <v>1295.0269999999991</v>
      </c>
      <c r="AA343">
        <f>IFERROR(Z343 / Y343, 0)</f>
        <v>0.17210514222166751</v>
      </c>
      <c r="AB343" t="str">
        <f>TEXT(C343, "mmmm")</f>
        <v>September</v>
      </c>
      <c r="AC343">
        <f>YEAR(C343)</f>
        <v>2025</v>
      </c>
      <c r="AD343" t="str">
        <f>IF(X343&lt;0, "Invalid: Ship Date Before Order Date", IF(W343&lt;0, "Invalid: Negative Discount", IF(W343&gt;0.5, "Invalid: Exceeds Allowed Discount", "OK")))</f>
        <v>OK</v>
      </c>
    </row>
    <row r="344" spans="1:30">
      <c r="A344" t="s">
        <v>1728</v>
      </c>
      <c r="B344" t="str">
        <f t="shared" si="5"/>
        <v>Unique</v>
      </c>
      <c r="C344" s="3">
        <v>45862</v>
      </c>
      <c r="D344" s="3">
        <v>45665</v>
      </c>
      <c r="E344" t="s">
        <v>1731</v>
      </c>
      <c r="F344" t="s">
        <v>366</v>
      </c>
      <c r="G344" t="s">
        <v>41</v>
      </c>
      <c r="H344" t="s">
        <v>42</v>
      </c>
      <c r="I344" t="s">
        <v>311</v>
      </c>
      <c r="J344" t="s">
        <v>312</v>
      </c>
      <c r="K344" t="s">
        <v>30</v>
      </c>
      <c r="L344" t="s">
        <v>198</v>
      </c>
      <c r="M344" t="s">
        <v>1732</v>
      </c>
      <c r="N344" t="s">
        <v>56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34</v>
      </c>
      <c r="V344" t="s">
        <v>35</v>
      </c>
      <c r="W344">
        <f>IF(ISBLANK(Q344), 0, IFERROR(VALUE(Q344), 0.7))</f>
        <v>0</v>
      </c>
      <c r="X344">
        <f>D344 - C344</f>
        <v>-197</v>
      </c>
      <c r="Y344">
        <f>O344 * P344 * (1 - W344)</f>
        <v>12231.36</v>
      </c>
      <c r="Z344">
        <f>Y344 - S344</f>
        <v>3464.4600000000009</v>
      </c>
      <c r="AA344">
        <f>IFERROR(Z344 / Y344, 0)</f>
        <v>0.28324405462679547</v>
      </c>
      <c r="AB344" t="str">
        <f>TEXT(C344, "mmmm")</f>
        <v>July</v>
      </c>
      <c r="AC344">
        <f>YEAR(C344)</f>
        <v>2025</v>
      </c>
      <c r="AD344" t="str">
        <f>IF(X344&lt;0, "Invalid: Ship Date Before Order Date", IF(W344&lt;0, "Invalid: Negative Discount", IF(W344&gt;0.5, "Invalid: Exceeds Allowed Discount", "OK")))</f>
        <v>Invalid: Ship Date Before Order Date</v>
      </c>
    </row>
    <row r="345" spans="1:30">
      <c r="A345" t="s">
        <v>1733</v>
      </c>
      <c r="B345" t="str">
        <f t="shared" si="5"/>
        <v>Unique</v>
      </c>
      <c r="C345" s="3">
        <v>45933</v>
      </c>
      <c r="D345" s="3">
        <v>45938</v>
      </c>
      <c r="E345" t="s">
        <v>1735</v>
      </c>
      <c r="F345" t="s">
        <v>162</v>
      </c>
      <c r="G345" t="s">
        <v>108</v>
      </c>
      <c r="H345" t="s">
        <v>73</v>
      </c>
      <c r="I345" t="s">
        <v>84</v>
      </c>
      <c r="J345" t="s">
        <v>85</v>
      </c>
      <c r="K345" t="s">
        <v>86</v>
      </c>
      <c r="L345" t="s">
        <v>382</v>
      </c>
      <c r="M345" t="s">
        <v>1736</v>
      </c>
      <c r="N345" t="s">
        <v>48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34</v>
      </c>
      <c r="V345" t="s">
        <v>35</v>
      </c>
      <c r="W345">
        <f>IF(ISBLANK(Q345), 0, IFERROR(VALUE(Q345), 0.7))</f>
        <v>0.1</v>
      </c>
      <c r="X345">
        <f>D345 - C345</f>
        <v>5</v>
      </c>
      <c r="Y345">
        <f>O345 * P345 * (1 - W345)</f>
        <v>31079.7</v>
      </c>
      <c r="Z345">
        <f>Y345 - S345</f>
        <v>13321.45</v>
      </c>
      <c r="AA345">
        <f>IFERROR(Z345 / Y345, 0)</f>
        <v>0.4286222196481948</v>
      </c>
      <c r="AB345" t="str">
        <f>TEXT(C345, "mmmm")</f>
        <v>October</v>
      </c>
      <c r="AC345">
        <f>YEAR(C345)</f>
        <v>2025</v>
      </c>
      <c r="AD345" t="str">
        <f>IF(X345&lt;0, "Invalid: Ship Date Before Order Date", IF(W345&lt;0, "Invalid: Negative Discount", IF(W345&gt;0.5, "Invalid: Exceeds Allowed Discount", "OK")))</f>
        <v>OK</v>
      </c>
    </row>
    <row r="346" spans="1:30">
      <c r="A346" t="s">
        <v>1737</v>
      </c>
      <c r="B346" t="str">
        <f t="shared" si="5"/>
        <v>Unique</v>
      </c>
      <c r="C346" s="3">
        <v>45599</v>
      </c>
      <c r="D346" s="3">
        <v>45599</v>
      </c>
      <c r="E346" t="s">
        <v>1738</v>
      </c>
      <c r="F346" t="s">
        <v>142</v>
      </c>
      <c r="G346" t="s">
        <v>26</v>
      </c>
      <c r="H346" t="s">
        <v>27</v>
      </c>
      <c r="I346" t="s">
        <v>154</v>
      </c>
      <c r="J346" t="s">
        <v>155</v>
      </c>
      <c r="K346" t="s">
        <v>45</v>
      </c>
      <c r="L346" t="s">
        <v>204</v>
      </c>
      <c r="M346" t="s">
        <v>1739</v>
      </c>
      <c r="N346" t="s">
        <v>48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137</v>
      </c>
      <c r="V346" t="s">
        <v>125</v>
      </c>
      <c r="W346">
        <f>IF(ISBLANK(Q346), 0, IFERROR(VALUE(Q346), 0.7))</f>
        <v>0</v>
      </c>
      <c r="X346">
        <f>D346 - C346</f>
        <v>0</v>
      </c>
      <c r="Y346">
        <f>O346 * P346 * (1 - W346)</f>
        <v>31107.420000000002</v>
      </c>
      <c r="Z346">
        <f>Y346 - S346</f>
        <v>10960.760000000002</v>
      </c>
      <c r="AA346">
        <f>IFERROR(Z346 / Y346, 0)</f>
        <v>0.3523519468988428</v>
      </c>
      <c r="AB346" t="str">
        <f>TEXT(C346, "mmmm")</f>
        <v>November</v>
      </c>
      <c r="AC346">
        <f>YEAR(C346)</f>
        <v>2024</v>
      </c>
      <c r="AD346" t="str">
        <f>IF(X346&lt;0, "Invalid: Ship Date Before Order Date", IF(W346&lt;0, "Invalid: Negative Discount", IF(W346&gt;0.5, "Invalid: Exceeds Allowed Discount", "OK")))</f>
        <v>OK</v>
      </c>
    </row>
    <row r="347" spans="1:30">
      <c r="A347" t="s">
        <v>1740</v>
      </c>
      <c r="B347" t="str">
        <f t="shared" si="5"/>
        <v>Unique</v>
      </c>
      <c r="C347" s="3">
        <v>45549</v>
      </c>
      <c r="D347" s="3">
        <v>45557</v>
      </c>
      <c r="E347" t="s">
        <v>1743</v>
      </c>
      <c r="F347" t="s">
        <v>25</v>
      </c>
      <c r="G347" t="s">
        <v>26</v>
      </c>
      <c r="H347" t="s">
        <v>73</v>
      </c>
      <c r="I347" t="s">
        <v>84</v>
      </c>
      <c r="J347" t="s">
        <v>85</v>
      </c>
      <c r="K347" t="s">
        <v>45</v>
      </c>
      <c r="L347" t="s">
        <v>65</v>
      </c>
      <c r="M347" t="s">
        <v>1744</v>
      </c>
      <c r="N347" t="s">
        <v>33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34</v>
      </c>
      <c r="V347" t="s">
        <v>35</v>
      </c>
      <c r="W347">
        <f>IF(ISBLANK(Q347), 0, IFERROR(VALUE(Q347), 0.7))</f>
        <v>0</v>
      </c>
      <c r="X347">
        <f>D347 - C347</f>
        <v>8</v>
      </c>
      <c r="Y347">
        <f>O347 * P347 * (1 - W347)</f>
        <v>5530.6</v>
      </c>
      <c r="Z347">
        <f>Y347 - S347</f>
        <v>1077.4900000000007</v>
      </c>
      <c r="AA347">
        <f>IFERROR(Z347 / Y347, 0)</f>
        <v>0.19482334647235391</v>
      </c>
      <c r="AB347" t="str">
        <f>TEXT(C347, "mmmm")</f>
        <v>September</v>
      </c>
      <c r="AC347">
        <f>YEAR(C347)</f>
        <v>2024</v>
      </c>
      <c r="AD347" t="str">
        <f>IF(X347&lt;0, "Invalid: Ship Date Before Order Date", IF(W347&lt;0, "Invalid: Negative Discount", IF(W347&gt;0.5, "Invalid: Exceeds Allowed Discount", "OK")))</f>
        <v>OK</v>
      </c>
    </row>
    <row r="348" spans="1:30">
      <c r="A348" t="s">
        <v>1745</v>
      </c>
      <c r="B348" t="str">
        <f t="shared" si="5"/>
        <v>Unique</v>
      </c>
      <c r="C348" s="3">
        <v>45860</v>
      </c>
      <c r="D348" s="3">
        <v>45866</v>
      </c>
      <c r="E348" t="s">
        <v>1747</v>
      </c>
      <c r="F348" t="s">
        <v>148</v>
      </c>
      <c r="G348" t="s">
        <v>108</v>
      </c>
      <c r="H348" t="s">
        <v>62</v>
      </c>
      <c r="I348" t="s">
        <v>242</v>
      </c>
      <c r="J348" t="s">
        <v>243</v>
      </c>
      <c r="K348" t="s">
        <v>45</v>
      </c>
      <c r="L348" t="s">
        <v>76</v>
      </c>
      <c r="M348" t="s">
        <v>1748</v>
      </c>
      <c r="N348" t="s">
        <v>33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34</v>
      </c>
      <c r="V348" t="s">
        <v>35</v>
      </c>
      <c r="W348">
        <f>IF(ISBLANK(Q348), 0, IFERROR(VALUE(Q348), 0.7))</f>
        <v>0.2</v>
      </c>
      <c r="X348">
        <f>D348 - C348</f>
        <v>6</v>
      </c>
      <c r="Y348">
        <f>O348 * P348 * (1 - W348)</f>
        <v>7715.8080000000009</v>
      </c>
      <c r="Z348">
        <f>Y348 - S348</f>
        <v>3457.3880000000008</v>
      </c>
      <c r="AA348">
        <f>IFERROR(Z348 / Y348, 0)</f>
        <v>0.4480915025360922</v>
      </c>
      <c r="AB348" t="str">
        <f>TEXT(C348, "mmmm")</f>
        <v>July</v>
      </c>
      <c r="AC348">
        <f>YEAR(C348)</f>
        <v>2025</v>
      </c>
      <c r="AD348" t="str">
        <f>IF(X348&lt;0, "Invalid: Ship Date Before Order Date", IF(W348&lt;0, "Invalid: Negative Discount", IF(W348&gt;0.5, "Invalid: Exceeds Allowed Discount", "OK")))</f>
        <v>OK</v>
      </c>
    </row>
    <row r="349" spans="1:30">
      <c r="A349" t="s">
        <v>1749</v>
      </c>
      <c r="B349" t="str">
        <f t="shared" si="5"/>
        <v>Unique</v>
      </c>
      <c r="C349" s="3">
        <v>45303</v>
      </c>
      <c r="D349" s="3">
        <v>45634</v>
      </c>
      <c r="E349" t="s">
        <v>1751</v>
      </c>
      <c r="F349" t="s">
        <v>162</v>
      </c>
      <c r="G349" t="s">
        <v>41</v>
      </c>
      <c r="H349" t="s">
        <v>73</v>
      </c>
      <c r="I349" t="s">
        <v>249</v>
      </c>
      <c r="J349" t="s">
        <v>250</v>
      </c>
      <c r="K349" t="s">
        <v>45</v>
      </c>
      <c r="L349" t="s">
        <v>76</v>
      </c>
      <c r="M349" t="s">
        <v>1752</v>
      </c>
      <c r="N349" t="s">
        <v>33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124</v>
      </c>
      <c r="V349" t="s">
        <v>125</v>
      </c>
      <c r="W349">
        <f>IF(ISBLANK(Q349), 0, IFERROR(VALUE(Q349), 0.7))</f>
        <v>0.2</v>
      </c>
      <c r="X349">
        <f>D349 - C349</f>
        <v>331</v>
      </c>
      <c r="Y349">
        <f>O349 * P349 * (1 - W349)</f>
        <v>11925.96</v>
      </c>
      <c r="Z349">
        <f>Y349 - S349</f>
        <v>1822.4499999999989</v>
      </c>
      <c r="AA349">
        <f>IFERROR(Z349 / Y349, 0)</f>
        <v>0.15281369382422874</v>
      </c>
      <c r="AB349" t="str">
        <f>TEXT(C349, "mmmm")</f>
        <v>January</v>
      </c>
      <c r="AC349">
        <f>YEAR(C349)</f>
        <v>2024</v>
      </c>
      <c r="AD349" t="str">
        <f>IF(X349&lt;0, "Invalid: Ship Date Before Order Date", IF(W349&lt;0, "Invalid: Negative Discount", IF(W349&gt;0.5, "Invalid: Exceeds Allowed Discount", "OK")))</f>
        <v>OK</v>
      </c>
    </row>
    <row r="350" spans="1:30">
      <c r="A350" t="s">
        <v>1753</v>
      </c>
      <c r="B350" t="str">
        <f t="shared" si="5"/>
        <v>Unique</v>
      </c>
      <c r="C350" s="3">
        <v>45445</v>
      </c>
      <c r="D350" s="3">
        <v>45450</v>
      </c>
      <c r="E350" t="s">
        <v>1755</v>
      </c>
      <c r="F350" t="s">
        <v>162</v>
      </c>
      <c r="G350" t="s">
        <v>108</v>
      </c>
      <c r="H350" t="s">
        <v>62</v>
      </c>
      <c r="I350" t="s">
        <v>229</v>
      </c>
      <c r="J350" t="s">
        <v>230</v>
      </c>
      <c r="K350" t="s">
        <v>86</v>
      </c>
      <c r="L350" t="s">
        <v>223</v>
      </c>
      <c r="M350" t="s">
        <v>1756</v>
      </c>
      <c r="N350" t="s">
        <v>48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34</v>
      </c>
      <c r="V350" t="s">
        <v>35</v>
      </c>
      <c r="W350">
        <f>IF(ISBLANK(Q350), 0, IFERROR(VALUE(Q350), 0.7))</f>
        <v>0.25</v>
      </c>
      <c r="X350">
        <f>D350 - C350</f>
        <v>5</v>
      </c>
      <c r="Y350">
        <f>O350 * P350 * (1 - W350)</f>
        <v>19306.755000000005</v>
      </c>
      <c r="Z350">
        <f>Y350 - S350</f>
        <v>4864.3750000000055</v>
      </c>
      <c r="AA350">
        <f>IFERROR(Z350 / Y350, 0)</f>
        <v>0.25195197225012717</v>
      </c>
      <c r="AB350" t="str">
        <f>TEXT(C350, "mmmm")</f>
        <v>June</v>
      </c>
      <c r="AC350">
        <f>YEAR(C350)</f>
        <v>2024</v>
      </c>
      <c r="AD350" t="str">
        <f>IF(X350&lt;0, "Invalid: Ship Date Before Order Date", IF(W350&lt;0, "Invalid: Negative Discount", IF(W350&gt;0.5, "Invalid: Exceeds Allowed Discount", "OK")))</f>
        <v>OK</v>
      </c>
    </row>
    <row r="351" spans="1:30">
      <c r="A351" t="s">
        <v>1757</v>
      </c>
      <c r="B351" t="str">
        <f t="shared" si="5"/>
        <v>Unique</v>
      </c>
      <c r="C351" s="3">
        <v>45927</v>
      </c>
      <c r="D351" s="3">
        <v>45929</v>
      </c>
      <c r="E351" t="s">
        <v>1759</v>
      </c>
      <c r="F351" t="s">
        <v>366</v>
      </c>
      <c r="G351" t="s">
        <v>115</v>
      </c>
      <c r="H351" t="s">
        <v>42</v>
      </c>
      <c r="I351" t="s">
        <v>311</v>
      </c>
      <c r="J351" t="s">
        <v>312</v>
      </c>
      <c r="K351" t="s">
        <v>45</v>
      </c>
      <c r="L351" t="s">
        <v>65</v>
      </c>
      <c r="M351" t="s">
        <v>1760</v>
      </c>
      <c r="N351" t="s">
        <v>33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34</v>
      </c>
      <c r="V351" t="s">
        <v>35</v>
      </c>
      <c r="W351">
        <f>IF(ISBLANK(Q351), 0, IFERROR(VALUE(Q351), 0.7))</f>
        <v>0.25</v>
      </c>
      <c r="X351">
        <f>D351 - C351</f>
        <v>2</v>
      </c>
      <c r="Y351">
        <f>O351 * P351 * (1 - W351)</f>
        <v>19355.962500000001</v>
      </c>
      <c r="Z351">
        <f>Y351 - S351</f>
        <v>4343.5125000000007</v>
      </c>
      <c r="AA351">
        <f>IFERROR(Z351 / Y351, 0)</f>
        <v>0.22440178317146461</v>
      </c>
      <c r="AB351" t="str">
        <f>TEXT(C351, "mmmm")</f>
        <v>September</v>
      </c>
      <c r="AC351">
        <f>YEAR(C351)</f>
        <v>2025</v>
      </c>
      <c r="AD351" t="str">
        <f>IF(X351&lt;0, "Invalid: Ship Date Before Order Date", IF(W351&lt;0, "Invalid: Negative Discount", IF(W351&gt;0.5, "Invalid: Exceeds Allowed Discount", "OK")))</f>
        <v>OK</v>
      </c>
    </row>
    <row r="352" spans="1:30">
      <c r="A352" t="s">
        <v>1761</v>
      </c>
      <c r="B352" t="str">
        <f t="shared" si="5"/>
        <v>Unique</v>
      </c>
      <c r="C352" s="3">
        <v>45474</v>
      </c>
      <c r="D352" s="3">
        <v>45305</v>
      </c>
      <c r="E352" t="s">
        <v>1764</v>
      </c>
      <c r="F352" t="s">
        <v>168</v>
      </c>
      <c r="G352" t="s">
        <v>41</v>
      </c>
      <c r="H352" t="s">
        <v>42</v>
      </c>
      <c r="I352" t="s">
        <v>311</v>
      </c>
      <c r="J352" t="s">
        <v>312</v>
      </c>
      <c r="K352" t="s">
        <v>45</v>
      </c>
      <c r="L352" t="s">
        <v>65</v>
      </c>
      <c r="M352" t="s">
        <v>1765</v>
      </c>
      <c r="N352" t="s">
        <v>33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124</v>
      </c>
      <c r="V352" t="s">
        <v>125</v>
      </c>
      <c r="W352">
        <f>IF(ISBLANK(Q352), 0, IFERROR(VALUE(Q352), 0.7))</f>
        <v>0.1</v>
      </c>
      <c r="X352">
        <f>D352 - C352</f>
        <v>-169</v>
      </c>
      <c r="Y352">
        <f>O352 * P352 * (1 - W352)</f>
        <v>11914.344000000001</v>
      </c>
      <c r="Z352">
        <f>Y352 - S352</f>
        <v>2143.1040000000012</v>
      </c>
      <c r="AA352">
        <f>IFERROR(Z352 / Y352, 0)</f>
        <v>0.17987595456367561</v>
      </c>
      <c r="AB352" t="str">
        <f>TEXT(C352, "mmmm")</f>
        <v>July</v>
      </c>
      <c r="AC352">
        <f>YEAR(C352)</f>
        <v>2024</v>
      </c>
      <c r="AD352" t="str">
        <f>IF(X352&lt;0, "Invalid: Ship Date Before Order Date", IF(W352&lt;0, "Invalid: Negative Discount", IF(W352&gt;0.5, "Invalid: Exceeds Allowed Discount", "OK")))</f>
        <v>Invalid: Ship Date Before Order Date</v>
      </c>
    </row>
    <row r="353" spans="1:30">
      <c r="A353" t="s">
        <v>1766</v>
      </c>
      <c r="B353" t="str">
        <f t="shared" si="5"/>
        <v>Unique</v>
      </c>
      <c r="C353" s="3">
        <v>45800</v>
      </c>
      <c r="D353" s="3">
        <v>45804</v>
      </c>
      <c r="E353" t="s">
        <v>1768</v>
      </c>
      <c r="F353" t="s">
        <v>83</v>
      </c>
      <c r="G353" t="s">
        <v>41</v>
      </c>
      <c r="H353" t="s">
        <v>62</v>
      </c>
      <c r="I353" t="s">
        <v>63</v>
      </c>
      <c r="J353" t="s">
        <v>64</v>
      </c>
      <c r="K353" t="s">
        <v>30</v>
      </c>
      <c r="L353" t="s">
        <v>156</v>
      </c>
      <c r="M353" t="s">
        <v>1769</v>
      </c>
      <c r="N353" t="s">
        <v>56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137</v>
      </c>
      <c r="V353" t="s">
        <v>78</v>
      </c>
      <c r="W353">
        <f>IF(ISBLANK(Q353), 0, IFERROR(VALUE(Q353), 0.7))</f>
        <v>0.25</v>
      </c>
      <c r="X353">
        <f>D353 - C353</f>
        <v>4</v>
      </c>
      <c r="Y353">
        <f>O353 * P353 * (1 - W353)</f>
        <v>3237.4800000000005</v>
      </c>
      <c r="Z353">
        <f>Y353 - S353</f>
        <v>1119.1400000000003</v>
      </c>
      <c r="AA353">
        <f>IFERROR(Z353 / Y353, 0)</f>
        <v>0.34568244437031276</v>
      </c>
      <c r="AB353" t="str">
        <f>TEXT(C353, "mmmm")</f>
        <v>May</v>
      </c>
      <c r="AC353">
        <f>YEAR(C353)</f>
        <v>2025</v>
      </c>
      <c r="AD353" t="str">
        <f>IF(X353&lt;0, "Invalid: Ship Date Before Order Date", IF(W353&lt;0, "Invalid: Negative Discount", IF(W353&gt;0.5, "Invalid: Exceeds Allowed Discount", "OK")))</f>
        <v>OK</v>
      </c>
    </row>
    <row r="354" spans="1:30">
      <c r="A354" t="s">
        <v>1770</v>
      </c>
      <c r="B354" t="str">
        <f t="shared" si="5"/>
        <v>Unique</v>
      </c>
      <c r="C354" s="3">
        <v>45884</v>
      </c>
      <c r="D354" s="3">
        <v>45886</v>
      </c>
      <c r="E354" t="s">
        <v>1772</v>
      </c>
      <c r="F354" t="s">
        <v>210</v>
      </c>
      <c r="G354" t="s">
        <v>41</v>
      </c>
      <c r="H354" t="s">
        <v>42</v>
      </c>
      <c r="I354" t="s">
        <v>216</v>
      </c>
      <c r="J354" t="s">
        <v>217</v>
      </c>
      <c r="K354" t="s">
        <v>86</v>
      </c>
      <c r="L354" t="s">
        <v>94</v>
      </c>
      <c r="M354" t="s">
        <v>1773</v>
      </c>
      <c r="N354" t="s">
        <v>56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34</v>
      </c>
      <c r="V354" t="s">
        <v>35</v>
      </c>
      <c r="W354">
        <f>IF(ISBLANK(Q354), 0, IFERROR(VALUE(Q354), 0.7))</f>
        <v>0.25</v>
      </c>
      <c r="X354">
        <f>D354 - C354</f>
        <v>2</v>
      </c>
      <c r="Y354">
        <f>O354 * P354 * (1 - W354)</f>
        <v>10734.75</v>
      </c>
      <c r="Z354">
        <f>Y354 - S354</f>
        <v>4259.0200000000004</v>
      </c>
      <c r="AA354">
        <f>IFERROR(Z354 / Y354, 0)</f>
        <v>0.39675073942103917</v>
      </c>
      <c r="AB354" t="str">
        <f>TEXT(C354, "mmmm")</f>
        <v>August</v>
      </c>
      <c r="AC354">
        <f>YEAR(C354)</f>
        <v>2025</v>
      </c>
      <c r="AD354" t="str">
        <f>IF(X354&lt;0, "Invalid: Ship Date Before Order Date", IF(W354&lt;0, "Invalid: Negative Discount", IF(W354&gt;0.5, "Invalid: Exceeds Allowed Discount", "OK")))</f>
        <v>OK</v>
      </c>
    </row>
    <row r="355" spans="1:30">
      <c r="A355" t="s">
        <v>1774</v>
      </c>
      <c r="B355" t="str">
        <f t="shared" si="5"/>
        <v>Unique</v>
      </c>
      <c r="C355" s="3">
        <v>45709</v>
      </c>
      <c r="D355" s="3">
        <v>45715</v>
      </c>
      <c r="E355" t="s">
        <v>1776</v>
      </c>
      <c r="F355" t="s">
        <v>72</v>
      </c>
      <c r="G355" t="s">
        <v>26</v>
      </c>
      <c r="H355" t="s">
        <v>27</v>
      </c>
      <c r="I355" t="s">
        <v>28</v>
      </c>
      <c r="J355" t="s">
        <v>29</v>
      </c>
      <c r="K355" t="s">
        <v>30</v>
      </c>
      <c r="L355" t="s">
        <v>54</v>
      </c>
      <c r="M355" t="s">
        <v>1777</v>
      </c>
      <c r="N355" t="s">
        <v>48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34</v>
      </c>
      <c r="V355" t="s">
        <v>35</v>
      </c>
      <c r="W355">
        <f>IF(ISBLANK(Q355), 0, IFERROR(VALUE(Q355), 0.7))</f>
        <v>0.2</v>
      </c>
      <c r="X355">
        <f>D355 - C355</f>
        <v>6</v>
      </c>
      <c r="Y355">
        <f>O355 * P355 * (1 - W355)</f>
        <v>10308.024000000001</v>
      </c>
      <c r="Z355">
        <f>Y355 - S355</f>
        <v>4485.7140000000009</v>
      </c>
      <c r="AA355">
        <f>IFERROR(Z355 / Y355, 0)</f>
        <v>0.4351672056642476</v>
      </c>
      <c r="AB355" t="str">
        <f>TEXT(C355, "mmmm")</f>
        <v>February</v>
      </c>
      <c r="AC355">
        <f>YEAR(C355)</f>
        <v>2025</v>
      </c>
      <c r="AD355" t="str">
        <f>IF(X355&lt;0, "Invalid: Ship Date Before Order Date", IF(W355&lt;0, "Invalid: Negative Discount", IF(W355&gt;0.5, "Invalid: Exceeds Allowed Discount", "OK")))</f>
        <v>OK</v>
      </c>
    </row>
    <row r="356" spans="1:30">
      <c r="A356" t="s">
        <v>1778</v>
      </c>
      <c r="B356" t="str">
        <f t="shared" si="5"/>
        <v>Unique</v>
      </c>
      <c r="C356" s="3">
        <v>45653</v>
      </c>
      <c r="D356" s="3">
        <v>45657</v>
      </c>
      <c r="E356" t="s">
        <v>1780</v>
      </c>
      <c r="F356" t="s">
        <v>366</v>
      </c>
      <c r="G356" t="s">
        <v>108</v>
      </c>
      <c r="H356" t="s">
        <v>27</v>
      </c>
      <c r="I356" t="s">
        <v>154</v>
      </c>
      <c r="J356" t="s">
        <v>155</v>
      </c>
      <c r="K356" t="s">
        <v>45</v>
      </c>
      <c r="L356" t="s">
        <v>65</v>
      </c>
      <c r="M356" t="s">
        <v>1782</v>
      </c>
      <c r="N356" t="s">
        <v>67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137</v>
      </c>
      <c r="V356" t="s">
        <v>78</v>
      </c>
      <c r="W356">
        <f>IF(ISBLANK(Q356), 0, IFERROR(VALUE(Q356), 0.7))</f>
        <v>-0.06</v>
      </c>
      <c r="X356">
        <f>D356 - C356</f>
        <v>4</v>
      </c>
      <c r="Y356">
        <f>O356 * P356 * (1 - W356)</f>
        <v>21285.520800000002</v>
      </c>
      <c r="Z356">
        <f>Y356 - S356</f>
        <v>8376.6808000000019</v>
      </c>
      <c r="AA356">
        <f>IFERROR(Z356 / Y356, 0)</f>
        <v>0.39353891683965753</v>
      </c>
      <c r="AB356" t="str">
        <f>TEXT(C356, "mmmm")</f>
        <v>December</v>
      </c>
      <c r="AC356">
        <f>YEAR(C356)</f>
        <v>2024</v>
      </c>
      <c r="AD356" t="str">
        <f>IF(X356&lt;0, "Invalid: Ship Date Before Order Date", IF(W356&lt;0, "Invalid: Negative Discount", IF(W356&gt;0.5, "Invalid: Exceeds Allowed Discount", "OK")))</f>
        <v>Invalid: Negative Discount</v>
      </c>
    </row>
    <row r="357" spans="1:30">
      <c r="A357" t="s">
        <v>1783</v>
      </c>
      <c r="B357" t="str">
        <f t="shared" si="5"/>
        <v>Unique</v>
      </c>
      <c r="C357" s="3">
        <v>45631</v>
      </c>
      <c r="D357" s="3">
        <v>45421</v>
      </c>
      <c r="E357" t="s">
        <v>1786</v>
      </c>
      <c r="F357" t="s">
        <v>142</v>
      </c>
      <c r="G357" t="s">
        <v>108</v>
      </c>
      <c r="H357" t="s">
        <v>73</v>
      </c>
      <c r="I357" t="s">
        <v>28</v>
      </c>
      <c r="J357" t="s">
        <v>135</v>
      </c>
      <c r="K357" t="s">
        <v>45</v>
      </c>
      <c r="L357" t="s">
        <v>46</v>
      </c>
      <c r="M357" t="s">
        <v>1787</v>
      </c>
      <c r="N357" t="s">
        <v>67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137</v>
      </c>
      <c r="V357" t="s">
        <v>78</v>
      </c>
      <c r="W357">
        <f>IF(ISBLANK(Q357), 0, IFERROR(VALUE(Q357), 0.7))</f>
        <v>0</v>
      </c>
      <c r="X357">
        <f>D357 - C357</f>
        <v>-210</v>
      </c>
      <c r="Y357">
        <f>O357 * P357 * (1 - W357)</f>
        <v>16017.4</v>
      </c>
      <c r="Z357">
        <f>Y357 - S357</f>
        <v>6459.6</v>
      </c>
      <c r="AA357">
        <f>IFERROR(Z357 / Y357, 0)</f>
        <v>0.40328642601171227</v>
      </c>
      <c r="AB357" t="str">
        <f>TEXT(C357, "mmmm")</f>
        <v>December</v>
      </c>
      <c r="AC357">
        <f>YEAR(C357)</f>
        <v>2024</v>
      </c>
      <c r="AD357" t="str">
        <f>IF(X357&lt;0, "Invalid: Ship Date Before Order Date", IF(W357&lt;0, "Invalid: Negative Discount", IF(W357&gt;0.5, "Invalid: Exceeds Allowed Discount", "OK")))</f>
        <v>Invalid: Ship Date Before Order Date</v>
      </c>
    </row>
    <row r="358" spans="1:30">
      <c r="A358" t="s">
        <v>1788</v>
      </c>
      <c r="B358" t="str">
        <f t="shared" si="5"/>
        <v>Unique</v>
      </c>
      <c r="C358" s="3">
        <v>45835</v>
      </c>
      <c r="D358" s="3">
        <v>45837</v>
      </c>
      <c r="E358" t="s">
        <v>1791</v>
      </c>
      <c r="F358" t="s">
        <v>180</v>
      </c>
      <c r="G358" t="s">
        <v>115</v>
      </c>
      <c r="H358" t="s">
        <v>62</v>
      </c>
      <c r="I358" t="s">
        <v>63</v>
      </c>
      <c r="J358" t="s">
        <v>64</v>
      </c>
      <c r="K358" t="s">
        <v>45</v>
      </c>
      <c r="L358" t="s">
        <v>76</v>
      </c>
      <c r="M358" t="s">
        <v>1792</v>
      </c>
      <c r="N358" t="s">
        <v>56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137</v>
      </c>
      <c r="V358" t="s">
        <v>125</v>
      </c>
      <c r="W358">
        <f>IF(ISBLANK(Q358), 0, IFERROR(VALUE(Q358), 0.7))</f>
        <v>0.2</v>
      </c>
      <c r="X358">
        <f>D358 - C358</f>
        <v>2</v>
      </c>
      <c r="Y358">
        <f>O358 * P358 * (1 - W358)</f>
        <v>2486.8000000000002</v>
      </c>
      <c r="Z358">
        <f>Y358 - S358</f>
        <v>355.07000000000016</v>
      </c>
      <c r="AA358">
        <f>IFERROR(Z358 / Y358, 0)</f>
        <v>0.1427818883705968</v>
      </c>
      <c r="AB358" t="str">
        <f>TEXT(C358, "mmmm")</f>
        <v>June</v>
      </c>
      <c r="AC358">
        <f>YEAR(C358)</f>
        <v>2025</v>
      </c>
      <c r="AD358" t="str">
        <f>IF(X358&lt;0, "Invalid: Ship Date Before Order Date", IF(W358&lt;0, "Invalid: Negative Discount", IF(W358&gt;0.5, "Invalid: Exceeds Allowed Discount", "OK")))</f>
        <v>OK</v>
      </c>
    </row>
    <row r="359" spans="1:30">
      <c r="A359" t="s">
        <v>1793</v>
      </c>
      <c r="B359" t="str">
        <f t="shared" si="5"/>
        <v>Unique</v>
      </c>
      <c r="C359" s="3">
        <v>45678</v>
      </c>
      <c r="D359" s="3">
        <v>45686</v>
      </c>
      <c r="E359" t="s">
        <v>1795</v>
      </c>
      <c r="F359" t="s">
        <v>40</v>
      </c>
      <c r="G359" t="s">
        <v>115</v>
      </c>
      <c r="H359" t="s">
        <v>62</v>
      </c>
      <c r="I359" t="s">
        <v>100</v>
      </c>
      <c r="J359" t="s">
        <v>101</v>
      </c>
      <c r="K359" t="s">
        <v>86</v>
      </c>
      <c r="L359" t="s">
        <v>382</v>
      </c>
      <c r="M359" t="s">
        <v>1796</v>
      </c>
      <c r="N359" t="s">
        <v>33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34</v>
      </c>
      <c r="V359" t="s">
        <v>78</v>
      </c>
      <c r="W359">
        <f>IF(ISBLANK(Q359), 0, IFERROR(VALUE(Q359), 0.7))</f>
        <v>0</v>
      </c>
      <c r="X359">
        <f>D359 - C359</f>
        <v>8</v>
      </c>
      <c r="Y359">
        <f>O359 * P359 * (1 - W359)</f>
        <v>4369.04</v>
      </c>
      <c r="Z359">
        <f>Y359 - S359</f>
        <v>652.15999999999985</v>
      </c>
      <c r="AA359">
        <f>IFERROR(Z359 / Y359, 0)</f>
        <v>0.14926848918755603</v>
      </c>
      <c r="AB359" t="str">
        <f>TEXT(C359, "mmmm")</f>
        <v>January</v>
      </c>
      <c r="AC359">
        <f>YEAR(C359)</f>
        <v>2025</v>
      </c>
      <c r="AD359" t="str">
        <f>IF(X359&lt;0, "Invalid: Ship Date Before Order Date", IF(W359&lt;0, "Invalid: Negative Discount", IF(W359&gt;0.5, "Invalid: Exceeds Allowed Discount", "OK")))</f>
        <v>OK</v>
      </c>
    </row>
    <row r="360" spans="1:30">
      <c r="A360" t="s">
        <v>1797</v>
      </c>
      <c r="B360" t="str">
        <f t="shared" si="5"/>
        <v>Unique</v>
      </c>
      <c r="C360" s="3">
        <v>45878</v>
      </c>
      <c r="D360" s="3">
        <v>45876</v>
      </c>
      <c r="E360" t="s">
        <v>1800</v>
      </c>
      <c r="F360" t="s">
        <v>83</v>
      </c>
      <c r="G360" t="s">
        <v>115</v>
      </c>
      <c r="H360" t="s">
        <v>73</v>
      </c>
      <c r="I360" t="s">
        <v>235</v>
      </c>
      <c r="J360" t="s">
        <v>236</v>
      </c>
      <c r="K360" t="s">
        <v>45</v>
      </c>
      <c r="L360" t="s">
        <v>204</v>
      </c>
      <c r="M360" t="s">
        <v>1801</v>
      </c>
      <c r="N360" t="s">
        <v>33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137</v>
      </c>
      <c r="V360" t="s">
        <v>125</v>
      </c>
      <c r="W360">
        <f>IF(ISBLANK(Q360), 0, IFERROR(VALUE(Q360), 0.7))</f>
        <v>0.05</v>
      </c>
      <c r="X360">
        <f>D360 - C360</f>
        <v>-2</v>
      </c>
      <c r="Y360">
        <f>O360 * P360 * (1 - W360)</f>
        <v>5956.12</v>
      </c>
      <c r="Z360">
        <f>Y360 - S360</f>
        <v>1576.9399999999996</v>
      </c>
      <c r="AA360">
        <f>IFERROR(Z360 / Y360, 0)</f>
        <v>0.26475960860425907</v>
      </c>
      <c r="AB360" t="str">
        <f>TEXT(C360, "mmmm")</f>
        <v>August</v>
      </c>
      <c r="AC360">
        <f>YEAR(C360)</f>
        <v>2025</v>
      </c>
      <c r="AD360" t="str">
        <f>IF(X360&lt;0, "Invalid: Ship Date Before Order Date", IF(W360&lt;0, "Invalid: Negative Discount", IF(W360&gt;0.5, "Invalid: Exceeds Allowed Discount", "OK")))</f>
        <v>Invalid: Ship Date Before Order Date</v>
      </c>
    </row>
    <row r="361" spans="1:30">
      <c r="A361" t="s">
        <v>1802</v>
      </c>
      <c r="B361" t="str">
        <f t="shared" si="5"/>
        <v>Unique</v>
      </c>
      <c r="C361" s="3">
        <v>45525</v>
      </c>
      <c r="D361" s="3">
        <v>45526</v>
      </c>
      <c r="E361" t="s">
        <v>1804</v>
      </c>
      <c r="F361" t="s">
        <v>53</v>
      </c>
      <c r="G361" t="s">
        <v>26</v>
      </c>
      <c r="H361" t="s">
        <v>62</v>
      </c>
      <c r="I361" t="s">
        <v>339</v>
      </c>
      <c r="J361" t="s">
        <v>340</v>
      </c>
      <c r="K361" t="s">
        <v>86</v>
      </c>
      <c r="L361" t="s">
        <v>223</v>
      </c>
      <c r="M361" t="s">
        <v>1805</v>
      </c>
      <c r="N361" t="s">
        <v>48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34</v>
      </c>
      <c r="V361" t="s">
        <v>35</v>
      </c>
      <c r="W361">
        <f>IF(ISBLANK(Q361), 0, IFERROR(VALUE(Q361), 0.7))</f>
        <v>0.1</v>
      </c>
      <c r="X361">
        <f>D361 - C361</f>
        <v>1</v>
      </c>
      <c r="Y361">
        <f>O361 * P361 * (1 - W361)</f>
        <v>4997.3760000000002</v>
      </c>
      <c r="Z361">
        <f>Y361 - S361</f>
        <v>2025.9860000000003</v>
      </c>
      <c r="AA361">
        <f>IFERROR(Z361 / Y361, 0)</f>
        <v>0.40540995914656014</v>
      </c>
      <c r="AB361" t="str">
        <f>TEXT(C361, "mmmm")</f>
        <v>August</v>
      </c>
      <c r="AC361">
        <f>YEAR(C361)</f>
        <v>2024</v>
      </c>
      <c r="AD361" t="str">
        <f>IF(X361&lt;0, "Invalid: Ship Date Before Order Date", IF(W361&lt;0, "Invalid: Negative Discount", IF(W361&gt;0.5, "Invalid: Exceeds Allowed Discount", "OK")))</f>
        <v>OK</v>
      </c>
    </row>
    <row r="362" spans="1:30">
      <c r="A362" t="s">
        <v>1806</v>
      </c>
      <c r="B362" t="str">
        <f t="shared" si="5"/>
        <v>Unique</v>
      </c>
      <c r="C362" s="3">
        <v>45460</v>
      </c>
      <c r="D362" s="3">
        <v>45463</v>
      </c>
      <c r="E362" t="s">
        <v>1809</v>
      </c>
      <c r="F362" t="s">
        <v>168</v>
      </c>
      <c r="G362" t="s">
        <v>41</v>
      </c>
      <c r="H362" t="s">
        <v>73</v>
      </c>
      <c r="I362" t="s">
        <v>235</v>
      </c>
      <c r="J362" t="s">
        <v>236</v>
      </c>
      <c r="K362" t="s">
        <v>45</v>
      </c>
      <c r="L362" t="s">
        <v>65</v>
      </c>
      <c r="M362" t="s">
        <v>1810</v>
      </c>
      <c r="N362" t="s">
        <v>67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124</v>
      </c>
      <c r="V362" t="s">
        <v>78</v>
      </c>
      <c r="W362">
        <f>IF(ISBLANK(Q362), 0, IFERROR(VALUE(Q362), 0.7))</f>
        <v>0.2</v>
      </c>
      <c r="X362">
        <f>D362 - C362</f>
        <v>3</v>
      </c>
      <c r="Y362">
        <f>O362 * P362 * (1 - W362)</f>
        <v>17669.400000000001</v>
      </c>
      <c r="Z362">
        <f>Y362 - S362</f>
        <v>3950.630000000001</v>
      </c>
      <c r="AA362">
        <f>IFERROR(Z362 / Y362, 0)</f>
        <v>0.2235859734908939</v>
      </c>
      <c r="AB362" t="str">
        <f>TEXT(C362, "mmmm")</f>
        <v>June</v>
      </c>
      <c r="AC362">
        <f>YEAR(C362)</f>
        <v>2024</v>
      </c>
      <c r="AD362" t="str">
        <f>IF(X362&lt;0, "Invalid: Ship Date Before Order Date", IF(W362&lt;0, "Invalid: Negative Discount", IF(W362&gt;0.5, "Invalid: Exceeds Allowed Discount", "OK")))</f>
        <v>OK</v>
      </c>
    </row>
    <row r="363" spans="1:30">
      <c r="A363" t="s">
        <v>1811</v>
      </c>
      <c r="B363" t="str">
        <f t="shared" si="5"/>
        <v>Unique</v>
      </c>
      <c r="C363" s="3">
        <v>45661</v>
      </c>
      <c r="D363" s="3">
        <v>45749</v>
      </c>
      <c r="E363" t="s">
        <v>1813</v>
      </c>
      <c r="F363" t="s">
        <v>180</v>
      </c>
      <c r="G363" t="s">
        <v>108</v>
      </c>
      <c r="H363" t="s">
        <v>42</v>
      </c>
      <c r="I363" t="s">
        <v>43</v>
      </c>
      <c r="J363" t="s">
        <v>44</v>
      </c>
      <c r="K363" t="s">
        <v>45</v>
      </c>
      <c r="L363" t="s">
        <v>76</v>
      </c>
      <c r="M363" t="s">
        <v>1814</v>
      </c>
      <c r="N363" t="s">
        <v>33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137</v>
      </c>
      <c r="V363" t="s">
        <v>125</v>
      </c>
      <c r="W363">
        <f>IF(ISBLANK(Q363), 0, IFERROR(VALUE(Q363), 0.7))</f>
        <v>0.05</v>
      </c>
      <c r="X363">
        <f>D363 - C363</f>
        <v>88</v>
      </c>
      <c r="Y363">
        <f>O363 * P363 * (1 - W363)</f>
        <v>35615.709000000003</v>
      </c>
      <c r="Z363">
        <f>Y363 - S363</f>
        <v>15225.999000000003</v>
      </c>
      <c r="AA363">
        <f>IFERROR(Z363 / Y363, 0)</f>
        <v>0.42750795723314122</v>
      </c>
      <c r="AB363" t="str">
        <f>TEXT(C363, "mmmm")</f>
        <v>January</v>
      </c>
      <c r="AC363">
        <f>YEAR(C363)</f>
        <v>2025</v>
      </c>
      <c r="AD363" t="str">
        <f>IF(X363&lt;0, "Invalid: Ship Date Before Order Date", IF(W363&lt;0, "Invalid: Negative Discount", IF(W363&gt;0.5, "Invalid: Exceeds Allowed Discount", "OK")))</f>
        <v>OK</v>
      </c>
    </row>
    <row r="364" spans="1:30">
      <c r="A364" t="s">
        <v>1815</v>
      </c>
      <c r="B364" t="str">
        <f t="shared" si="5"/>
        <v>Unique</v>
      </c>
      <c r="C364" s="3">
        <v>45527</v>
      </c>
      <c r="D364" s="3">
        <v>45529</v>
      </c>
      <c r="E364" t="s">
        <v>1818</v>
      </c>
      <c r="F364" t="s">
        <v>83</v>
      </c>
      <c r="G364" t="s">
        <v>26</v>
      </c>
      <c r="H364" t="s">
        <v>73</v>
      </c>
      <c r="I364" t="s">
        <v>249</v>
      </c>
      <c r="J364" t="s">
        <v>250</v>
      </c>
      <c r="K364" t="s">
        <v>86</v>
      </c>
      <c r="L364" t="s">
        <v>382</v>
      </c>
      <c r="M364" t="s">
        <v>1819</v>
      </c>
      <c r="N364" t="s">
        <v>48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34</v>
      </c>
      <c r="V364" t="s">
        <v>35</v>
      </c>
      <c r="W364">
        <f>IF(ISBLANK(Q364), 0, IFERROR(VALUE(Q364), 0.7))</f>
        <v>0.05</v>
      </c>
      <c r="X364">
        <f>D364 - C364</f>
        <v>2</v>
      </c>
      <c r="Y364">
        <f>O364 * P364 * (1 - W364)</f>
        <v>1866.4079999999999</v>
      </c>
      <c r="Z364">
        <f>Y364 - S364</f>
        <v>289.91799999999989</v>
      </c>
      <c r="AA364">
        <f>IFERROR(Z364 / Y364, 0)</f>
        <v>0.15533473924243782</v>
      </c>
      <c r="AB364" t="str">
        <f>TEXT(C364, "mmmm")</f>
        <v>August</v>
      </c>
      <c r="AC364">
        <f>YEAR(C364)</f>
        <v>2024</v>
      </c>
      <c r="AD364" t="str">
        <f>IF(X364&lt;0, "Invalid: Ship Date Before Order Date", IF(W364&lt;0, "Invalid: Negative Discount", IF(W364&gt;0.5, "Invalid: Exceeds Allowed Discount", "OK")))</f>
        <v>OK</v>
      </c>
    </row>
    <row r="365" spans="1:30">
      <c r="A365" t="s">
        <v>1820</v>
      </c>
      <c r="B365" t="str">
        <f t="shared" si="5"/>
        <v>Unique</v>
      </c>
      <c r="C365" s="3">
        <v>45845</v>
      </c>
      <c r="D365" s="3">
        <v>45850</v>
      </c>
      <c r="E365" t="s">
        <v>1823</v>
      </c>
      <c r="F365" t="s">
        <v>210</v>
      </c>
      <c r="G365" t="s">
        <v>108</v>
      </c>
      <c r="H365" t="s">
        <v>42</v>
      </c>
      <c r="I365" t="s">
        <v>121</v>
      </c>
      <c r="J365" t="s">
        <v>122</v>
      </c>
      <c r="K365" t="s">
        <v>45</v>
      </c>
      <c r="L365" t="s">
        <v>46</v>
      </c>
      <c r="M365" t="s">
        <v>1824</v>
      </c>
      <c r="N365" t="s">
        <v>33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34</v>
      </c>
      <c r="V365" t="s">
        <v>35</v>
      </c>
      <c r="W365">
        <f>IF(ISBLANK(Q365), 0, IFERROR(VALUE(Q365), 0.7))</f>
        <v>0.25</v>
      </c>
      <c r="X365">
        <f>D365 - C365</f>
        <v>5</v>
      </c>
      <c r="Y365">
        <f>O365 * P365 * (1 - W365)</f>
        <v>6867.6374999999989</v>
      </c>
      <c r="Z365">
        <f>Y365 - S365</f>
        <v>1662.2774999999992</v>
      </c>
      <c r="AA365">
        <f>IFERROR(Z365 / Y365, 0)</f>
        <v>0.24204502640100028</v>
      </c>
      <c r="AB365" t="str">
        <f>TEXT(C365, "mmmm")</f>
        <v>July</v>
      </c>
      <c r="AC365">
        <f>YEAR(C365)</f>
        <v>2025</v>
      </c>
      <c r="AD365" t="str">
        <f>IF(X365&lt;0, "Invalid: Ship Date Before Order Date", IF(W365&lt;0, "Invalid: Negative Discount", IF(W365&gt;0.5, "Invalid: Exceeds Allowed Discount", "OK")))</f>
        <v>OK</v>
      </c>
    </row>
    <row r="366" spans="1:30">
      <c r="A366" t="s">
        <v>1825</v>
      </c>
      <c r="B366" t="str">
        <f t="shared" si="5"/>
        <v>Unique</v>
      </c>
      <c r="C366" s="3">
        <v>45737</v>
      </c>
      <c r="D366" s="3">
        <v>45740</v>
      </c>
      <c r="E366" t="s">
        <v>1828</v>
      </c>
      <c r="F366" t="s">
        <v>162</v>
      </c>
      <c r="G366" t="s">
        <v>41</v>
      </c>
      <c r="H366" t="s">
        <v>62</v>
      </c>
      <c r="I366" t="s">
        <v>100</v>
      </c>
      <c r="J366" t="s">
        <v>101</v>
      </c>
      <c r="K366" t="s">
        <v>45</v>
      </c>
      <c r="L366" t="s">
        <v>76</v>
      </c>
      <c r="M366" t="s">
        <v>1829</v>
      </c>
      <c r="N366" t="s">
        <v>33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34</v>
      </c>
      <c r="V366" t="s">
        <v>35</v>
      </c>
      <c r="W366">
        <f>IF(ISBLANK(Q366), 0, IFERROR(VALUE(Q366), 0.7))</f>
        <v>0</v>
      </c>
      <c r="X366">
        <f>D366 - C366</f>
        <v>3</v>
      </c>
      <c r="Y366">
        <f>O366 * P366 * (1 - W366)</f>
        <v>6195.75</v>
      </c>
      <c r="Z366">
        <f>Y366 - S366</f>
        <v>2228.73</v>
      </c>
      <c r="AA366">
        <f>IFERROR(Z366 / Y366, 0)</f>
        <v>0.35971916232901585</v>
      </c>
      <c r="AB366" t="str">
        <f>TEXT(C366, "mmmm")</f>
        <v>March</v>
      </c>
      <c r="AC366">
        <f>YEAR(C366)</f>
        <v>2025</v>
      </c>
      <c r="AD366" t="str">
        <f>IF(X366&lt;0, "Invalid: Ship Date Before Order Date", IF(W366&lt;0, "Invalid: Negative Discount", IF(W366&gt;0.5, "Invalid: Exceeds Allowed Discount", "OK")))</f>
        <v>OK</v>
      </c>
    </row>
    <row r="367" spans="1:30">
      <c r="A367" t="s">
        <v>1830</v>
      </c>
      <c r="B367" t="str">
        <f t="shared" si="5"/>
        <v>Unique</v>
      </c>
      <c r="C367" s="3">
        <v>45458</v>
      </c>
      <c r="D367" s="3">
        <v>45464</v>
      </c>
      <c r="E367" t="s">
        <v>1833</v>
      </c>
      <c r="F367" t="s">
        <v>107</v>
      </c>
      <c r="G367" t="s">
        <v>108</v>
      </c>
      <c r="H367" t="s">
        <v>73</v>
      </c>
      <c r="I367" t="s">
        <v>249</v>
      </c>
      <c r="J367" t="s">
        <v>250</v>
      </c>
      <c r="K367" t="s">
        <v>86</v>
      </c>
      <c r="L367" t="s">
        <v>87</v>
      </c>
      <c r="M367" t="s">
        <v>1834</v>
      </c>
      <c r="N367" t="s">
        <v>56</v>
      </c>
      <c r="O367">
        <v>8</v>
      </c>
      <c r="P367">
        <v>1706.4</v>
      </c>
      <c r="R367">
        <v>12968.64</v>
      </c>
      <c r="S367">
        <v>10119.61</v>
      </c>
      <c r="T367">
        <v>2849.03</v>
      </c>
      <c r="U367" t="s">
        <v>34</v>
      </c>
      <c r="V367" t="s">
        <v>35</v>
      </c>
      <c r="W367">
        <f>IF(ISBLANK(Q367), 0, IFERROR(VALUE(Q367), 0.7))</f>
        <v>0</v>
      </c>
      <c r="X367">
        <f>D367 - C367</f>
        <v>6</v>
      </c>
      <c r="Y367">
        <f>O367 * P367 * (1 - W367)</f>
        <v>13651.2</v>
      </c>
      <c r="Z367">
        <f>Y367 - S367</f>
        <v>3531.59</v>
      </c>
      <c r="AA367">
        <f>IFERROR(Z367 / Y367, 0)</f>
        <v>0.2587017991092358</v>
      </c>
      <c r="AB367" t="str">
        <f>TEXT(C367, "mmmm")</f>
        <v>June</v>
      </c>
      <c r="AC367">
        <f>YEAR(C367)</f>
        <v>2024</v>
      </c>
      <c r="AD367" t="str">
        <f>IF(X367&lt;0, "Invalid: Ship Date Before Order Date", IF(W367&lt;0, "Invalid: Negative Discount", IF(W367&gt;0.5, "Invalid: Exceeds Allowed Discount", "OK")))</f>
        <v>OK</v>
      </c>
    </row>
    <row r="368" spans="1:30">
      <c r="A368" t="s">
        <v>1835</v>
      </c>
      <c r="B368" t="str">
        <f t="shared" si="5"/>
        <v>Unique</v>
      </c>
      <c r="C368" s="3">
        <v>45673</v>
      </c>
      <c r="D368" s="3">
        <v>45679</v>
      </c>
      <c r="E368" t="s">
        <v>1838</v>
      </c>
      <c r="F368" t="s">
        <v>168</v>
      </c>
      <c r="G368" t="s">
        <v>108</v>
      </c>
      <c r="H368" t="s">
        <v>27</v>
      </c>
      <c r="I368" t="s">
        <v>28</v>
      </c>
      <c r="J368" t="s">
        <v>29</v>
      </c>
      <c r="K368" t="s">
        <v>45</v>
      </c>
      <c r="L368" t="s">
        <v>46</v>
      </c>
      <c r="M368" t="s">
        <v>1839</v>
      </c>
      <c r="N368" t="s">
        <v>48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34</v>
      </c>
      <c r="V368" t="s">
        <v>35</v>
      </c>
      <c r="W368">
        <f>IF(ISBLANK(Q368), 0, IFERROR(VALUE(Q368), 0.7))</f>
        <v>0</v>
      </c>
      <c r="X368">
        <f>D368 - C368</f>
        <v>6</v>
      </c>
      <c r="Y368">
        <f>O368 * P368 * (1 - W368)</f>
        <v>8836.56</v>
      </c>
      <c r="Z368">
        <f>Y368 - S368</f>
        <v>2968.8099999999995</v>
      </c>
      <c r="AA368">
        <f>IFERROR(Z368 / Y368, 0)</f>
        <v>0.33596897435201023</v>
      </c>
      <c r="AB368" t="str">
        <f>TEXT(C368, "mmmm")</f>
        <v>January</v>
      </c>
      <c r="AC368">
        <f>YEAR(C368)</f>
        <v>2025</v>
      </c>
      <c r="AD368" t="str">
        <f>IF(X368&lt;0, "Invalid: Ship Date Before Order Date", IF(W368&lt;0, "Invalid: Negative Discount", IF(W368&gt;0.5, "Invalid: Exceeds Allowed Discount", "OK")))</f>
        <v>OK</v>
      </c>
    </row>
    <row r="369" spans="1:30">
      <c r="A369" t="s">
        <v>1840</v>
      </c>
      <c r="B369" t="str">
        <f t="shared" si="5"/>
        <v>Unique</v>
      </c>
      <c r="C369" s="3">
        <v>45366</v>
      </c>
      <c r="D369" s="3">
        <v>45367</v>
      </c>
      <c r="E369" t="s">
        <v>1842</v>
      </c>
      <c r="F369" t="s">
        <v>180</v>
      </c>
      <c r="G369" t="s">
        <v>26</v>
      </c>
      <c r="H369" t="s">
        <v>27</v>
      </c>
      <c r="I369" t="s">
        <v>506</v>
      </c>
      <c r="J369" t="s">
        <v>507</v>
      </c>
      <c r="K369" t="s">
        <v>30</v>
      </c>
      <c r="L369" t="s">
        <v>54</v>
      </c>
      <c r="M369" t="s">
        <v>1843</v>
      </c>
      <c r="N369" t="s">
        <v>67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200</v>
      </c>
      <c r="V369" t="s">
        <v>78</v>
      </c>
      <c r="W369">
        <f>IF(ISBLANK(Q369), 0, IFERROR(VALUE(Q369), 0.7))</f>
        <v>0.15</v>
      </c>
      <c r="X369">
        <f>D369 - C369</f>
        <v>1</v>
      </c>
      <c r="Y369">
        <f>O369 * P369 * (1 - W369)</f>
        <v>19456.958999999999</v>
      </c>
      <c r="Z369">
        <f>Y369 - S369</f>
        <v>4936.8989999999994</v>
      </c>
      <c r="AA369">
        <f>IFERROR(Z369 / Y369, 0)</f>
        <v>0.25373435797443988</v>
      </c>
      <c r="AB369" t="str">
        <f>TEXT(C369, "mmmm")</f>
        <v>March</v>
      </c>
      <c r="AC369">
        <f>YEAR(C369)</f>
        <v>2024</v>
      </c>
      <c r="AD369" t="str">
        <f>IF(X369&lt;0, "Invalid: Ship Date Before Order Date", IF(W369&lt;0, "Invalid: Negative Discount", IF(W369&gt;0.5, "Invalid: Exceeds Allowed Discount", "OK")))</f>
        <v>OK</v>
      </c>
    </row>
    <row r="370" spans="1:30">
      <c r="A370" t="s">
        <v>1844</v>
      </c>
      <c r="B370" t="str">
        <f t="shared" si="5"/>
        <v>Unique</v>
      </c>
      <c r="C370" s="3">
        <v>45815</v>
      </c>
      <c r="D370" s="3">
        <v>45815</v>
      </c>
      <c r="E370" t="s">
        <v>1845</v>
      </c>
      <c r="F370" t="s">
        <v>162</v>
      </c>
      <c r="G370" t="s">
        <v>115</v>
      </c>
      <c r="H370" t="s">
        <v>27</v>
      </c>
      <c r="I370" t="s">
        <v>28</v>
      </c>
      <c r="J370" t="s">
        <v>29</v>
      </c>
      <c r="K370" t="s">
        <v>86</v>
      </c>
      <c r="L370" t="s">
        <v>87</v>
      </c>
      <c r="M370" t="s">
        <v>1846</v>
      </c>
      <c r="N370" t="s">
        <v>48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124</v>
      </c>
      <c r="V370" t="s">
        <v>125</v>
      </c>
      <c r="W370">
        <f>IF(ISBLANK(Q370), 0, IFERROR(VALUE(Q370), 0.7))</f>
        <v>0.05</v>
      </c>
      <c r="X370">
        <f>D370 - C370</f>
        <v>0</v>
      </c>
      <c r="Y370">
        <f>O370 * P370 * (1 - W370)</f>
        <v>2079.2745</v>
      </c>
      <c r="Z370">
        <f>Y370 - S370</f>
        <v>567.10449999999992</v>
      </c>
      <c r="AA370">
        <f>IFERROR(Z370 / Y370, 0)</f>
        <v>0.27274152595051782</v>
      </c>
      <c r="AB370" t="str">
        <f>TEXT(C370, "mmmm")</f>
        <v>June</v>
      </c>
      <c r="AC370">
        <f>YEAR(C370)</f>
        <v>2025</v>
      </c>
      <c r="AD370" t="str">
        <f>IF(X370&lt;0, "Invalid: Ship Date Before Order Date", IF(W370&lt;0, "Invalid: Negative Discount", IF(W370&gt;0.5, "Invalid: Exceeds Allowed Discount", "OK")))</f>
        <v>OK</v>
      </c>
    </row>
    <row r="371" spans="1:30">
      <c r="A371" t="s">
        <v>1847</v>
      </c>
      <c r="B371" t="str">
        <f t="shared" si="5"/>
        <v>Unique</v>
      </c>
      <c r="C371" s="3">
        <v>45680</v>
      </c>
      <c r="D371" s="3">
        <v>45687</v>
      </c>
      <c r="E371" t="s">
        <v>1848</v>
      </c>
      <c r="F371" t="s">
        <v>142</v>
      </c>
      <c r="G371" t="s">
        <v>26</v>
      </c>
      <c r="H371" t="s">
        <v>27</v>
      </c>
      <c r="I371" t="s">
        <v>506</v>
      </c>
      <c r="J371" t="s">
        <v>507</v>
      </c>
      <c r="K371" t="s">
        <v>30</v>
      </c>
      <c r="L371" t="s">
        <v>109</v>
      </c>
      <c r="M371" t="s">
        <v>1849</v>
      </c>
      <c r="N371" t="s">
        <v>67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34</v>
      </c>
      <c r="V371" t="s">
        <v>35</v>
      </c>
      <c r="W371">
        <f>IF(ISBLANK(Q371), 0, IFERROR(VALUE(Q371), 0.7))</f>
        <v>0.15</v>
      </c>
      <c r="X371">
        <f>D371 - C371</f>
        <v>7</v>
      </c>
      <c r="Y371">
        <f>O371 * P371 * (1 - W371)</f>
        <v>8945.6804999999986</v>
      </c>
      <c r="Z371">
        <f>Y371 - S371</f>
        <v>2205.3304999999982</v>
      </c>
      <c r="AA371">
        <f>IFERROR(Z371 / Y371, 0)</f>
        <v>0.24652462157574245</v>
      </c>
      <c r="AB371" t="str">
        <f>TEXT(C371, "mmmm")</f>
        <v>January</v>
      </c>
      <c r="AC371">
        <f>YEAR(C371)</f>
        <v>2025</v>
      </c>
      <c r="AD371" t="str">
        <f>IF(X371&lt;0, "Invalid: Ship Date Before Order Date", IF(W371&lt;0, "Invalid: Negative Discount", IF(W371&gt;0.5, "Invalid: Exceeds Allowed Discount", "OK")))</f>
        <v>OK</v>
      </c>
    </row>
    <row r="372" spans="1:30">
      <c r="A372" t="s">
        <v>1850</v>
      </c>
      <c r="B372" t="str">
        <f t="shared" si="5"/>
        <v>Unique</v>
      </c>
      <c r="C372" s="3">
        <v>45519</v>
      </c>
      <c r="D372" s="3">
        <v>45525</v>
      </c>
      <c r="E372" t="s">
        <v>1852</v>
      </c>
      <c r="F372" t="s">
        <v>72</v>
      </c>
      <c r="G372" t="s">
        <v>41</v>
      </c>
      <c r="H372" t="s">
        <v>73</v>
      </c>
      <c r="I372" t="s">
        <v>28</v>
      </c>
      <c r="J372" t="s">
        <v>135</v>
      </c>
      <c r="K372" t="s">
        <v>86</v>
      </c>
      <c r="L372" t="s">
        <v>94</v>
      </c>
      <c r="M372" t="s">
        <v>1853</v>
      </c>
      <c r="N372" t="s">
        <v>56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34</v>
      </c>
      <c r="V372" t="s">
        <v>35</v>
      </c>
      <c r="W372">
        <f>IF(ISBLANK(Q372), 0, IFERROR(VALUE(Q372), 0.7))</f>
        <v>0.2</v>
      </c>
      <c r="X372">
        <f>D372 - C372</f>
        <v>6</v>
      </c>
      <c r="Y372">
        <f>O372 * P372 * (1 - W372)</f>
        <v>13069.336000000001</v>
      </c>
      <c r="Z372">
        <f>Y372 - S372</f>
        <v>4300.746000000001</v>
      </c>
      <c r="AA372">
        <f>IFERROR(Z372 / Y372, 0)</f>
        <v>0.32907149988339124</v>
      </c>
      <c r="AB372" t="str">
        <f>TEXT(C372, "mmmm")</f>
        <v>August</v>
      </c>
      <c r="AC372">
        <f>YEAR(C372)</f>
        <v>2024</v>
      </c>
      <c r="AD372" t="str">
        <f>IF(X372&lt;0, "Invalid: Ship Date Before Order Date", IF(W372&lt;0, "Invalid: Negative Discount", IF(W372&gt;0.5, "Invalid: Exceeds Allowed Discount", "OK")))</f>
        <v>OK</v>
      </c>
    </row>
    <row r="373" spans="1:30">
      <c r="A373" t="s">
        <v>1854</v>
      </c>
      <c r="B373" t="str">
        <f t="shared" si="5"/>
        <v>Unique</v>
      </c>
      <c r="C373" s="3">
        <v>45313</v>
      </c>
      <c r="D373" s="3">
        <v>45315</v>
      </c>
      <c r="E373" t="s">
        <v>1856</v>
      </c>
      <c r="F373" t="s">
        <v>210</v>
      </c>
      <c r="G373" t="s">
        <v>115</v>
      </c>
      <c r="H373" t="s">
        <v>73</v>
      </c>
      <c r="I373" t="s">
        <v>74</v>
      </c>
      <c r="J373" t="s">
        <v>75</v>
      </c>
      <c r="K373" t="s">
        <v>30</v>
      </c>
      <c r="L373" t="s">
        <v>54</v>
      </c>
      <c r="M373" t="s">
        <v>1857</v>
      </c>
      <c r="N373" t="s">
        <v>67</v>
      </c>
      <c r="O373">
        <v>6</v>
      </c>
      <c r="P373">
        <v>1026.06</v>
      </c>
      <c r="R373">
        <v>4617.2700000000004</v>
      </c>
      <c r="S373">
        <v>2981.94</v>
      </c>
      <c r="T373">
        <v>1635.33</v>
      </c>
      <c r="U373" t="s">
        <v>124</v>
      </c>
      <c r="V373" t="s">
        <v>78</v>
      </c>
      <c r="W373">
        <f>IF(ISBLANK(Q373), 0, IFERROR(VALUE(Q373), 0.7))</f>
        <v>0</v>
      </c>
      <c r="X373">
        <f>D373 - C373</f>
        <v>2</v>
      </c>
      <c r="Y373">
        <f>O373 * P373 * (1 - W373)</f>
        <v>6156.36</v>
      </c>
      <c r="Z373">
        <f>Y373 - S373</f>
        <v>3174.4199999999996</v>
      </c>
      <c r="AA373">
        <f>IFERROR(Z373 / Y373, 0)</f>
        <v>0.51563261407714944</v>
      </c>
      <c r="AB373" t="str">
        <f>TEXT(C373, "mmmm")</f>
        <v>January</v>
      </c>
      <c r="AC373">
        <f>YEAR(C373)</f>
        <v>2024</v>
      </c>
      <c r="AD373" t="str">
        <f>IF(X373&lt;0, "Invalid: Ship Date Before Order Date", IF(W373&lt;0, "Invalid: Negative Discount", IF(W373&gt;0.5, "Invalid: Exceeds Allowed Discount", "OK")))</f>
        <v>OK</v>
      </c>
    </row>
    <row r="374" spans="1:30">
      <c r="A374" t="s">
        <v>1858</v>
      </c>
      <c r="B374" t="str">
        <f t="shared" si="5"/>
        <v>Unique</v>
      </c>
      <c r="C374" s="3">
        <v>45885</v>
      </c>
      <c r="D374" s="3">
        <v>45887</v>
      </c>
      <c r="E374" t="s">
        <v>970</v>
      </c>
      <c r="F374" t="s">
        <v>366</v>
      </c>
      <c r="G374" t="s">
        <v>26</v>
      </c>
      <c r="H374" t="s">
        <v>42</v>
      </c>
      <c r="I374" t="s">
        <v>311</v>
      </c>
      <c r="J374" t="s">
        <v>312</v>
      </c>
      <c r="K374" t="s">
        <v>45</v>
      </c>
      <c r="L374" t="s">
        <v>76</v>
      </c>
      <c r="M374" t="s">
        <v>1860</v>
      </c>
      <c r="N374" t="s">
        <v>48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34</v>
      </c>
      <c r="V374" t="s">
        <v>35</v>
      </c>
      <c r="W374">
        <f>IF(ISBLANK(Q374), 0, IFERROR(VALUE(Q374), 0.7))</f>
        <v>0</v>
      </c>
      <c r="X374">
        <f>D374 - C374</f>
        <v>2</v>
      </c>
      <c r="Y374">
        <f>O374 * P374 * (1 - W374)</f>
        <v>7651.7999999999993</v>
      </c>
      <c r="Z374">
        <f>Y374 - S374</f>
        <v>2480.0199999999995</v>
      </c>
      <c r="AA374">
        <f>IFERROR(Z374 / Y374, 0)</f>
        <v>0.32410935988917638</v>
      </c>
      <c r="AB374" t="str">
        <f>TEXT(C374, "mmmm")</f>
        <v>August</v>
      </c>
      <c r="AC374">
        <f>YEAR(C374)</f>
        <v>2025</v>
      </c>
      <c r="AD374" t="str">
        <f>IF(X374&lt;0, "Invalid: Ship Date Before Order Date", IF(W374&lt;0, "Invalid: Negative Discount", IF(W374&gt;0.5, "Invalid: Exceeds Allowed Discount", "OK")))</f>
        <v>OK</v>
      </c>
    </row>
    <row r="375" spans="1:30">
      <c r="A375" t="s">
        <v>1861</v>
      </c>
      <c r="B375" t="str">
        <f t="shared" si="5"/>
        <v>Review: Duplicate Order ID</v>
      </c>
      <c r="C375" s="3">
        <v>45760</v>
      </c>
      <c r="D375" s="3">
        <v>45760</v>
      </c>
      <c r="E375" t="s">
        <v>1863</v>
      </c>
      <c r="F375" t="s">
        <v>168</v>
      </c>
      <c r="G375" t="s">
        <v>41</v>
      </c>
      <c r="H375" t="s">
        <v>27</v>
      </c>
      <c r="I375" t="s">
        <v>174</v>
      </c>
      <c r="J375" t="s">
        <v>175</v>
      </c>
      <c r="K375" t="s">
        <v>30</v>
      </c>
      <c r="L375" t="s">
        <v>156</v>
      </c>
      <c r="M375" t="s">
        <v>1864</v>
      </c>
      <c r="N375" t="s">
        <v>33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34</v>
      </c>
      <c r="V375" t="s">
        <v>35</v>
      </c>
      <c r="W375">
        <f>IF(ISBLANK(Q375), 0, IFERROR(VALUE(Q375), 0.7))</f>
        <v>0</v>
      </c>
      <c r="X375">
        <f>D375 - C375</f>
        <v>0</v>
      </c>
      <c r="Y375">
        <f>O375 * P375 * (1 - W375)</f>
        <v>10068.120000000001</v>
      </c>
      <c r="Z375">
        <f>Y375 - S375</f>
        <v>1472.75</v>
      </c>
      <c r="AA375">
        <f>IFERROR(Z375 / Y375, 0)</f>
        <v>0.14627855051389932</v>
      </c>
      <c r="AB375" t="str">
        <f>TEXT(C375, "mmmm")</f>
        <v>April</v>
      </c>
      <c r="AC375">
        <f>YEAR(C375)</f>
        <v>2025</v>
      </c>
      <c r="AD375" t="str">
        <f>IF(X375&lt;0, "Invalid: Ship Date Before Order Date", IF(W375&lt;0, "Invalid: Negative Discount", IF(W375&gt;0.5, "Invalid: Exceeds Allowed Discount", "OK")))</f>
        <v>OK</v>
      </c>
    </row>
    <row r="376" spans="1:30">
      <c r="A376" t="s">
        <v>1865</v>
      </c>
      <c r="B376" t="str">
        <f t="shared" si="5"/>
        <v>Unique</v>
      </c>
      <c r="C376" s="3">
        <v>45715</v>
      </c>
      <c r="D376" s="3">
        <v>45716</v>
      </c>
      <c r="E376" t="s">
        <v>1868</v>
      </c>
      <c r="F376" t="s">
        <v>107</v>
      </c>
      <c r="G376" t="s">
        <v>41</v>
      </c>
      <c r="H376" t="s">
        <v>27</v>
      </c>
      <c r="I376" t="s">
        <v>174</v>
      </c>
      <c r="J376" t="s">
        <v>175</v>
      </c>
      <c r="K376" t="s">
        <v>30</v>
      </c>
      <c r="L376" t="s">
        <v>109</v>
      </c>
      <c r="M376" t="s">
        <v>1869</v>
      </c>
      <c r="N376" t="s">
        <v>67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34</v>
      </c>
      <c r="V376" t="s">
        <v>35</v>
      </c>
      <c r="W376">
        <f>IF(ISBLANK(Q376), 0, IFERROR(VALUE(Q376), 0.7))</f>
        <v>0</v>
      </c>
      <c r="X376">
        <f>D376 - C376</f>
        <v>1</v>
      </c>
      <c r="Y376">
        <f>O376 * P376 * (1 - W376)</f>
        <v>14359.5</v>
      </c>
      <c r="Z376">
        <f>Y376 - S376</f>
        <v>6241.79</v>
      </c>
      <c r="AA376">
        <f>IFERROR(Z376 / Y376, 0)</f>
        <v>0.43468017688638183</v>
      </c>
      <c r="AB376" t="str">
        <f>TEXT(C376, "mmmm")</f>
        <v>February</v>
      </c>
      <c r="AC376">
        <f>YEAR(C376)</f>
        <v>2025</v>
      </c>
      <c r="AD376" t="str">
        <f>IF(X376&lt;0, "Invalid: Ship Date Before Order Date", IF(W376&lt;0, "Invalid: Negative Discount", IF(W376&gt;0.5, "Invalid: Exceeds Allowed Discount", "OK")))</f>
        <v>OK</v>
      </c>
    </row>
    <row r="377" spans="1:30">
      <c r="A377" t="s">
        <v>1870</v>
      </c>
      <c r="B377" t="str">
        <f t="shared" si="5"/>
        <v>Unique</v>
      </c>
      <c r="C377" s="3">
        <v>45657</v>
      </c>
      <c r="D377" s="3">
        <v>45661</v>
      </c>
      <c r="E377" t="s">
        <v>1873</v>
      </c>
      <c r="F377" t="s">
        <v>83</v>
      </c>
      <c r="G377" t="s">
        <v>26</v>
      </c>
      <c r="H377" t="s">
        <v>27</v>
      </c>
      <c r="I377" t="s">
        <v>506</v>
      </c>
      <c r="J377" t="s">
        <v>507</v>
      </c>
      <c r="K377" t="s">
        <v>45</v>
      </c>
      <c r="L377" t="s">
        <v>76</v>
      </c>
      <c r="M377" t="s">
        <v>1874</v>
      </c>
      <c r="N377" t="s">
        <v>48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34</v>
      </c>
      <c r="V377" t="s">
        <v>35</v>
      </c>
      <c r="W377">
        <f>IF(ISBLANK(Q377), 0, IFERROR(VALUE(Q377), 0.7))</f>
        <v>0.25</v>
      </c>
      <c r="X377">
        <f>D377 - C377</f>
        <v>4</v>
      </c>
      <c r="Y377">
        <f>O377 * P377 * (1 - W377)</f>
        <v>2624.8724999999999</v>
      </c>
      <c r="Z377">
        <f>Y377 - S377</f>
        <v>370.99249999999984</v>
      </c>
      <c r="AA377">
        <f>IFERROR(Z377 / Y377, 0)</f>
        <v>0.14133734114704613</v>
      </c>
      <c r="AB377" t="str">
        <f>TEXT(C377, "mmmm")</f>
        <v>December</v>
      </c>
      <c r="AC377">
        <f>YEAR(C377)</f>
        <v>2024</v>
      </c>
      <c r="AD377" t="str">
        <f>IF(X377&lt;0, "Invalid: Ship Date Before Order Date", IF(W377&lt;0, "Invalid: Negative Discount", IF(W377&gt;0.5, "Invalid: Exceeds Allowed Discount", "OK")))</f>
        <v>OK</v>
      </c>
    </row>
    <row r="378" spans="1:30">
      <c r="A378" t="s">
        <v>1875</v>
      </c>
      <c r="B378" t="str">
        <f t="shared" si="5"/>
        <v>Unique</v>
      </c>
      <c r="C378" s="3">
        <v>45655</v>
      </c>
      <c r="D378" s="3">
        <v>45657</v>
      </c>
      <c r="E378" t="s">
        <v>1877</v>
      </c>
      <c r="F378" t="s">
        <v>53</v>
      </c>
      <c r="G378" t="s">
        <v>41</v>
      </c>
      <c r="H378" t="s">
        <v>42</v>
      </c>
      <c r="I378" t="s">
        <v>186</v>
      </c>
      <c r="J378" t="s">
        <v>187</v>
      </c>
      <c r="K378" t="s">
        <v>45</v>
      </c>
      <c r="L378" t="s">
        <v>76</v>
      </c>
      <c r="M378" t="s">
        <v>1878</v>
      </c>
      <c r="N378" t="s">
        <v>56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34</v>
      </c>
      <c r="V378" t="s">
        <v>35</v>
      </c>
      <c r="W378">
        <f>IF(ISBLANK(Q378), 0, IFERROR(VALUE(Q378), 0.7))</f>
        <v>0.2</v>
      </c>
      <c r="X378">
        <f>D378 - C378</f>
        <v>2</v>
      </c>
      <c r="Y378">
        <f>O378 * P378 * (1 - W378)</f>
        <v>8854.9440000000013</v>
      </c>
      <c r="Z378">
        <f>Y378 - S378</f>
        <v>1420.9940000000015</v>
      </c>
      <c r="AA378">
        <f>IFERROR(Z378 / Y378, 0)</f>
        <v>0.1604746455765278</v>
      </c>
      <c r="AB378" t="str">
        <f>TEXT(C378, "mmmm")</f>
        <v>December</v>
      </c>
      <c r="AC378">
        <f>YEAR(C378)</f>
        <v>2024</v>
      </c>
      <c r="AD378" t="str">
        <f>IF(X378&lt;0, "Invalid: Ship Date Before Order Date", IF(W378&lt;0, "Invalid: Negative Discount", IF(W378&gt;0.5, "Invalid: Exceeds Allowed Discount", "OK")))</f>
        <v>OK</v>
      </c>
    </row>
    <row r="379" spans="1:30">
      <c r="A379" t="s">
        <v>1879</v>
      </c>
      <c r="B379" t="str">
        <f t="shared" si="5"/>
        <v>Unique</v>
      </c>
      <c r="C379" s="3">
        <v>45801</v>
      </c>
      <c r="D379" s="3">
        <v>45807</v>
      </c>
      <c r="E379" t="s">
        <v>1881</v>
      </c>
      <c r="F379" t="s">
        <v>366</v>
      </c>
      <c r="G379" t="s">
        <v>41</v>
      </c>
      <c r="H379" t="s">
        <v>42</v>
      </c>
      <c r="I379" t="s">
        <v>43</v>
      </c>
      <c r="J379" t="s">
        <v>44</v>
      </c>
      <c r="K379" t="s">
        <v>30</v>
      </c>
      <c r="L379" t="s">
        <v>156</v>
      </c>
      <c r="M379" t="s">
        <v>1883</v>
      </c>
      <c r="N379" t="s">
        <v>48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34</v>
      </c>
      <c r="V379" t="s">
        <v>35</v>
      </c>
      <c r="W379">
        <f>IF(ISBLANK(Q379), 0, IFERROR(VALUE(Q379), 0.7))</f>
        <v>0</v>
      </c>
      <c r="X379">
        <f>D379 - C379</f>
        <v>6</v>
      </c>
      <c r="Y379">
        <f>O379 * P379 * (1 - W379)</f>
        <v>2564.7399999999998</v>
      </c>
      <c r="Z379">
        <f>Y379 - S379</f>
        <v>810.15999999999985</v>
      </c>
      <c r="AA379">
        <f>IFERROR(Z379 / Y379, 0)</f>
        <v>0.31588387126960232</v>
      </c>
      <c r="AB379" t="str">
        <f>TEXT(C379, "mmmm")</f>
        <v>May</v>
      </c>
      <c r="AC379">
        <f>YEAR(C379)</f>
        <v>2025</v>
      </c>
      <c r="AD379" t="str">
        <f>IF(X379&lt;0, "Invalid: Ship Date Before Order Date", IF(W379&lt;0, "Invalid: Negative Discount", IF(W379&gt;0.5, "Invalid: Exceeds Allowed Discount", "OK")))</f>
        <v>OK</v>
      </c>
    </row>
    <row r="380" spans="1:30">
      <c r="A380" t="s">
        <v>1884</v>
      </c>
      <c r="B380" t="str">
        <f t="shared" si="5"/>
        <v>Unique</v>
      </c>
      <c r="C380" s="3">
        <v>45799</v>
      </c>
      <c r="D380" s="3">
        <v>45799</v>
      </c>
      <c r="E380" t="s">
        <v>1886</v>
      </c>
      <c r="F380" t="s">
        <v>40</v>
      </c>
      <c r="G380" t="s">
        <v>26</v>
      </c>
      <c r="H380" t="s">
        <v>73</v>
      </c>
      <c r="I380" t="s">
        <v>249</v>
      </c>
      <c r="J380" t="s">
        <v>250</v>
      </c>
      <c r="K380" t="s">
        <v>86</v>
      </c>
      <c r="L380" t="s">
        <v>87</v>
      </c>
      <c r="M380" t="s">
        <v>1887</v>
      </c>
      <c r="N380" t="s">
        <v>67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34</v>
      </c>
      <c r="V380" t="s">
        <v>35</v>
      </c>
      <c r="W380">
        <f>IF(ISBLANK(Q380), 0, IFERROR(VALUE(Q380), 0.7))</f>
        <v>0</v>
      </c>
      <c r="X380">
        <f>D380 - C380</f>
        <v>0</v>
      </c>
      <c r="Y380">
        <f>O380 * P380 * (1 - W380)</f>
        <v>7821.22</v>
      </c>
      <c r="Z380">
        <f>Y380 - S380</f>
        <v>2826.76</v>
      </c>
      <c r="AA380">
        <f>IFERROR(Z380 / Y380, 0)</f>
        <v>0.36142187535959863</v>
      </c>
      <c r="AB380" t="str">
        <f>TEXT(C380, "mmmm")</f>
        <v>May</v>
      </c>
      <c r="AC380">
        <f>YEAR(C380)</f>
        <v>2025</v>
      </c>
      <c r="AD380" t="str">
        <f>IF(X380&lt;0, "Invalid: Ship Date Before Order Date", IF(W380&lt;0, "Invalid: Negative Discount", IF(W380&gt;0.5, "Invalid: Exceeds Allowed Discount", "OK")))</f>
        <v>OK</v>
      </c>
    </row>
    <row r="381" spans="1:30">
      <c r="A381" t="s">
        <v>1888</v>
      </c>
      <c r="B381" t="str">
        <f t="shared" si="5"/>
        <v>Unique</v>
      </c>
      <c r="C381" s="3">
        <v>45554</v>
      </c>
      <c r="D381" s="3">
        <v>45558</v>
      </c>
      <c r="E381" t="s">
        <v>1891</v>
      </c>
      <c r="F381" t="s">
        <v>40</v>
      </c>
      <c r="G381" t="s">
        <v>41</v>
      </c>
      <c r="H381" t="s">
        <v>62</v>
      </c>
      <c r="I381" t="s">
        <v>242</v>
      </c>
      <c r="J381" t="s">
        <v>243</v>
      </c>
      <c r="K381" t="s">
        <v>30</v>
      </c>
      <c r="L381" t="s">
        <v>31</v>
      </c>
      <c r="M381" t="s">
        <v>1892</v>
      </c>
      <c r="N381" t="s">
        <v>67</v>
      </c>
      <c r="O381">
        <v>7</v>
      </c>
      <c r="P381">
        <v>1136.68</v>
      </c>
      <c r="R381">
        <v>7956.76</v>
      </c>
      <c r="S381">
        <v>4799.54</v>
      </c>
      <c r="T381">
        <v>3157.22</v>
      </c>
      <c r="U381" t="s">
        <v>34</v>
      </c>
      <c r="V381" t="s">
        <v>35</v>
      </c>
      <c r="W381">
        <f>IF(ISBLANK(Q381), 0, IFERROR(VALUE(Q381), 0.7))</f>
        <v>0</v>
      </c>
      <c r="X381">
        <f>D381 - C381</f>
        <v>4</v>
      </c>
      <c r="Y381">
        <f>O381 * P381 * (1 - W381)</f>
        <v>7956.76</v>
      </c>
      <c r="Z381">
        <f>Y381 - S381</f>
        <v>3157.2200000000003</v>
      </c>
      <c r="AA381">
        <f>IFERROR(Z381 / Y381, 0)</f>
        <v>0.39679718880549369</v>
      </c>
      <c r="AB381" t="str">
        <f>TEXT(C381, "mmmm")</f>
        <v>September</v>
      </c>
      <c r="AC381">
        <f>YEAR(C381)</f>
        <v>2024</v>
      </c>
      <c r="AD381" t="str">
        <f>IF(X381&lt;0, "Invalid: Ship Date Before Order Date", IF(W381&lt;0, "Invalid: Negative Discount", IF(W381&gt;0.5, "Invalid: Exceeds Allowed Discount", "OK")))</f>
        <v>OK</v>
      </c>
    </row>
    <row r="382" spans="1:30">
      <c r="A382" t="s">
        <v>1893</v>
      </c>
      <c r="B382" t="str">
        <f t="shared" si="5"/>
        <v>Unique</v>
      </c>
      <c r="C382" s="3">
        <v>45389</v>
      </c>
      <c r="D382" s="3">
        <v>45396</v>
      </c>
      <c r="E382" t="s">
        <v>1895</v>
      </c>
      <c r="F382" t="s">
        <v>83</v>
      </c>
      <c r="G382" t="s">
        <v>26</v>
      </c>
      <c r="H382" t="s">
        <v>73</v>
      </c>
      <c r="I382" t="s">
        <v>74</v>
      </c>
      <c r="J382" t="s">
        <v>75</v>
      </c>
      <c r="K382" t="s">
        <v>45</v>
      </c>
      <c r="L382" t="s">
        <v>204</v>
      </c>
      <c r="M382" t="s">
        <v>1896</v>
      </c>
      <c r="N382" t="s">
        <v>48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34</v>
      </c>
      <c r="V382" t="s">
        <v>125</v>
      </c>
      <c r="W382">
        <f>IF(ISBLANK(Q382), 0, IFERROR(VALUE(Q382), 0.7))</f>
        <v>0.25</v>
      </c>
      <c r="X382">
        <f>D382 - C382</f>
        <v>7</v>
      </c>
      <c r="Y382">
        <f>O382 * P382 * (1 - W382)</f>
        <v>8384.4375</v>
      </c>
      <c r="Z382">
        <f>Y382 - S382</f>
        <v>3618.4775</v>
      </c>
      <c r="AA382">
        <f>IFERROR(Z382 / Y382, 0)</f>
        <v>0.43157069272685256</v>
      </c>
      <c r="AB382" t="str">
        <f>TEXT(C382, "mmmm")</f>
        <v>April</v>
      </c>
      <c r="AC382">
        <f>YEAR(C382)</f>
        <v>2024</v>
      </c>
      <c r="AD382" t="str">
        <f>IF(X382&lt;0, "Invalid: Ship Date Before Order Date", IF(W382&lt;0, "Invalid: Negative Discount", IF(W382&gt;0.5, "Invalid: Exceeds Allowed Discount", "OK")))</f>
        <v>OK</v>
      </c>
    </row>
    <row r="383" spans="1:30">
      <c r="A383" t="s">
        <v>1897</v>
      </c>
      <c r="B383" t="str">
        <f t="shared" si="5"/>
        <v>Unique</v>
      </c>
      <c r="C383" s="3">
        <v>45919</v>
      </c>
      <c r="D383" s="3">
        <v>45923</v>
      </c>
      <c r="E383" t="s">
        <v>1900</v>
      </c>
      <c r="F383" t="s">
        <v>61</v>
      </c>
      <c r="G383" t="s">
        <v>115</v>
      </c>
      <c r="H383" t="s">
        <v>27</v>
      </c>
      <c r="I383" t="s">
        <v>506</v>
      </c>
      <c r="J383" t="s">
        <v>507</v>
      </c>
      <c r="K383" t="s">
        <v>30</v>
      </c>
      <c r="L383" t="s">
        <v>198</v>
      </c>
      <c r="M383" t="s">
        <v>1902</v>
      </c>
      <c r="N383" t="s">
        <v>67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200</v>
      </c>
      <c r="V383" t="s">
        <v>78</v>
      </c>
      <c r="W383">
        <f>IF(ISBLANK(Q383), 0, IFERROR(VALUE(Q383), 0.7))</f>
        <v>0.05</v>
      </c>
      <c r="X383">
        <f>D383 - C383</f>
        <v>4</v>
      </c>
      <c r="Y383">
        <f>O383 * P383 * (1 - W383)</f>
        <v>16671.169999999998</v>
      </c>
      <c r="Z383">
        <f>Y383 - S383</f>
        <v>5837.9799999999977</v>
      </c>
      <c r="AA383">
        <f>IFERROR(Z383 / Y383, 0)</f>
        <v>0.35018418023450054</v>
      </c>
      <c r="AB383" t="str">
        <f>TEXT(C383, "mmmm")</f>
        <v>September</v>
      </c>
      <c r="AC383">
        <f>YEAR(C383)</f>
        <v>2025</v>
      </c>
      <c r="AD383" t="str">
        <f>IF(X383&lt;0, "Invalid: Ship Date Before Order Date", IF(W383&lt;0, "Invalid: Negative Discount", IF(W383&gt;0.5, "Invalid: Exceeds Allowed Discount", "OK")))</f>
        <v>OK</v>
      </c>
    </row>
    <row r="384" spans="1:30">
      <c r="A384" t="s">
        <v>1903</v>
      </c>
      <c r="B384" t="str">
        <f t="shared" si="5"/>
        <v>Unique</v>
      </c>
      <c r="C384" s="3">
        <v>45720</v>
      </c>
      <c r="D384" s="3">
        <v>45724</v>
      </c>
      <c r="E384" t="s">
        <v>203</v>
      </c>
      <c r="F384" t="s">
        <v>61</v>
      </c>
      <c r="G384" t="s">
        <v>41</v>
      </c>
      <c r="H384" t="s">
        <v>42</v>
      </c>
      <c r="I384" t="s">
        <v>186</v>
      </c>
      <c r="J384" t="s">
        <v>187</v>
      </c>
      <c r="K384" t="s">
        <v>86</v>
      </c>
      <c r="L384" t="s">
        <v>223</v>
      </c>
      <c r="M384" t="s">
        <v>1906</v>
      </c>
      <c r="N384" t="s">
        <v>56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34</v>
      </c>
      <c r="V384" t="s">
        <v>35</v>
      </c>
      <c r="W384">
        <f>IF(ISBLANK(Q384), 0, IFERROR(VALUE(Q384), 0.7))</f>
        <v>0.2</v>
      </c>
      <c r="X384">
        <f>D384 - C384</f>
        <v>4</v>
      </c>
      <c r="Y384">
        <f>O384 * P384 * (1 - W384)</f>
        <v>10468.440000000002</v>
      </c>
      <c r="Z384">
        <f>Y384 - S384</f>
        <v>2068.5700000000015</v>
      </c>
      <c r="AA384">
        <f>IFERROR(Z384 / Y384, 0)</f>
        <v>0.19760059760575607</v>
      </c>
      <c r="AB384" t="str">
        <f>TEXT(C384, "mmmm")</f>
        <v>March</v>
      </c>
      <c r="AC384">
        <f>YEAR(C384)</f>
        <v>2025</v>
      </c>
      <c r="AD384" t="str">
        <f>IF(X384&lt;0, "Invalid: Ship Date Before Order Date", IF(W384&lt;0, "Invalid: Negative Discount", IF(W384&gt;0.5, "Invalid: Exceeds Allowed Discount", "OK")))</f>
        <v>OK</v>
      </c>
    </row>
    <row r="385" spans="1:30">
      <c r="A385" t="s">
        <v>1907</v>
      </c>
      <c r="B385" t="str">
        <f t="shared" si="5"/>
        <v>Unique</v>
      </c>
      <c r="C385" s="3">
        <v>45836</v>
      </c>
      <c r="D385" s="3">
        <v>45843</v>
      </c>
      <c r="E385" t="s">
        <v>1908</v>
      </c>
      <c r="F385" t="s">
        <v>83</v>
      </c>
      <c r="G385" t="s">
        <v>108</v>
      </c>
      <c r="H385" t="s">
        <v>42</v>
      </c>
      <c r="I385" t="s">
        <v>121</v>
      </c>
      <c r="J385" t="s">
        <v>122</v>
      </c>
      <c r="K385" t="s">
        <v>30</v>
      </c>
      <c r="L385" t="s">
        <v>54</v>
      </c>
      <c r="M385" t="s">
        <v>1909</v>
      </c>
      <c r="N385" t="s">
        <v>56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34</v>
      </c>
      <c r="V385" t="s">
        <v>78</v>
      </c>
      <c r="W385">
        <f>IF(ISBLANK(Q385), 0, IFERROR(VALUE(Q385), 0.7))</f>
        <v>0</v>
      </c>
      <c r="X385">
        <f>D385 - C385</f>
        <v>7</v>
      </c>
      <c r="Y385">
        <f>O385 * P385 * (1 - W385)</f>
        <v>4485.5</v>
      </c>
      <c r="Z385">
        <f>Y385 - S385</f>
        <v>1353.6399999999999</v>
      </c>
      <c r="AA385">
        <f>IFERROR(Z385 / Y385, 0)</f>
        <v>0.30178129528480657</v>
      </c>
      <c r="AB385" t="str">
        <f>TEXT(C385, "mmmm")</f>
        <v>June</v>
      </c>
      <c r="AC385">
        <f>YEAR(C385)</f>
        <v>2025</v>
      </c>
      <c r="AD385" t="str">
        <f>IF(X385&lt;0, "Invalid: Ship Date Before Order Date", IF(W385&lt;0, "Invalid: Negative Discount", IF(W385&gt;0.5, "Invalid: Exceeds Allowed Discount", "OK")))</f>
        <v>OK</v>
      </c>
    </row>
    <row r="386" spans="1:30">
      <c r="A386" t="s">
        <v>1910</v>
      </c>
      <c r="B386" t="str">
        <f t="shared" si="5"/>
        <v>Unique</v>
      </c>
      <c r="C386" s="3">
        <v>45366</v>
      </c>
      <c r="D386" s="3">
        <v>45371</v>
      </c>
      <c r="E386" t="s">
        <v>1913</v>
      </c>
      <c r="F386" t="s">
        <v>180</v>
      </c>
      <c r="G386" t="s">
        <v>26</v>
      </c>
      <c r="H386" t="s">
        <v>42</v>
      </c>
      <c r="I386" t="s">
        <v>311</v>
      </c>
      <c r="J386" t="s">
        <v>312</v>
      </c>
      <c r="K386" t="s">
        <v>86</v>
      </c>
      <c r="L386" t="s">
        <v>94</v>
      </c>
      <c r="M386" t="s">
        <v>1914</v>
      </c>
      <c r="N386" t="s">
        <v>67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34</v>
      </c>
      <c r="V386" t="s">
        <v>125</v>
      </c>
      <c r="W386">
        <f>IF(ISBLANK(Q386), 0, IFERROR(VALUE(Q386), 0.7))</f>
        <v>0.25</v>
      </c>
      <c r="X386">
        <f>D386 - C386</f>
        <v>5</v>
      </c>
      <c r="Y386">
        <f>O386 * P386 * (1 - W386)</f>
        <v>2822.1000000000004</v>
      </c>
      <c r="Z386">
        <f>Y386 - S386</f>
        <v>1197.5300000000004</v>
      </c>
      <c r="AA386">
        <f>IFERROR(Z386 / Y386, 0)</f>
        <v>0.42434003047376079</v>
      </c>
      <c r="AB386" t="str">
        <f>TEXT(C386, "mmmm")</f>
        <v>March</v>
      </c>
      <c r="AC386">
        <f>YEAR(C386)</f>
        <v>2024</v>
      </c>
      <c r="AD386" t="str">
        <f>IF(X386&lt;0, "Invalid: Ship Date Before Order Date", IF(W386&lt;0, "Invalid: Negative Discount", IF(W386&gt;0.5, "Invalid: Exceeds Allowed Discount", "OK")))</f>
        <v>OK</v>
      </c>
    </row>
    <row r="387" spans="1:30">
      <c r="A387" t="s">
        <v>1915</v>
      </c>
      <c r="B387" t="str">
        <f t="shared" ref="B387:B450" si="6">IF(COUNTIF(A:A, A387)&gt;1, "Review: Duplicate Order ID", "Unique")</f>
        <v>Unique</v>
      </c>
      <c r="C387" s="3">
        <v>45832</v>
      </c>
      <c r="D387" s="3">
        <v>45838</v>
      </c>
      <c r="E387" t="s">
        <v>1917</v>
      </c>
      <c r="F387" t="s">
        <v>61</v>
      </c>
      <c r="G387" t="s">
        <v>26</v>
      </c>
      <c r="H387" t="s">
        <v>27</v>
      </c>
      <c r="I387" t="s">
        <v>323</v>
      </c>
      <c r="J387" t="s">
        <v>324</v>
      </c>
      <c r="K387" t="s">
        <v>30</v>
      </c>
      <c r="L387" t="s">
        <v>109</v>
      </c>
      <c r="M387" t="s">
        <v>1918</v>
      </c>
      <c r="N387" t="s">
        <v>67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34</v>
      </c>
      <c r="V387" t="s">
        <v>35</v>
      </c>
      <c r="W387">
        <f>IF(ISBLANK(Q387), 0, IFERROR(VALUE(Q387), 0.7))</f>
        <v>0.1</v>
      </c>
      <c r="X387">
        <f>D387 - C387</f>
        <v>6</v>
      </c>
      <c r="Y387">
        <f>O387 * P387 * (1 - W387)</f>
        <v>1975.104</v>
      </c>
      <c r="Z387">
        <f>Y387 - S387</f>
        <v>859.75400000000013</v>
      </c>
      <c r="AA387">
        <f>IFERROR(Z387 / Y387, 0)</f>
        <v>0.4352955591199249</v>
      </c>
      <c r="AB387" t="str">
        <f>TEXT(C387, "mmmm")</f>
        <v>June</v>
      </c>
      <c r="AC387">
        <f>YEAR(C387)</f>
        <v>2025</v>
      </c>
      <c r="AD387" t="str">
        <f>IF(X387&lt;0, "Invalid: Ship Date Before Order Date", IF(W387&lt;0, "Invalid: Negative Discount", IF(W387&gt;0.5, "Invalid: Exceeds Allowed Discount", "OK")))</f>
        <v>OK</v>
      </c>
    </row>
    <row r="388" spans="1:30">
      <c r="A388" t="s">
        <v>1919</v>
      </c>
      <c r="B388" t="str">
        <f t="shared" si="6"/>
        <v>Unique</v>
      </c>
      <c r="C388" s="3">
        <v>45700</v>
      </c>
      <c r="D388" s="3">
        <v>45702</v>
      </c>
      <c r="E388" t="s">
        <v>1921</v>
      </c>
      <c r="F388" t="s">
        <v>168</v>
      </c>
      <c r="G388" t="s">
        <v>26</v>
      </c>
      <c r="H388" t="s">
        <v>73</v>
      </c>
      <c r="I388" t="s">
        <v>74</v>
      </c>
      <c r="J388" t="s">
        <v>75</v>
      </c>
      <c r="K388" t="s">
        <v>45</v>
      </c>
      <c r="L388" t="s">
        <v>65</v>
      </c>
      <c r="M388" t="s">
        <v>1922</v>
      </c>
      <c r="N388" t="s">
        <v>33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34</v>
      </c>
      <c r="V388" t="s">
        <v>35</v>
      </c>
      <c r="W388">
        <f>IF(ISBLANK(Q388), 0, IFERROR(VALUE(Q388), 0.7))</f>
        <v>0.1</v>
      </c>
      <c r="X388">
        <f>D388 - C388</f>
        <v>2</v>
      </c>
      <c r="Y388">
        <f>O388 * P388 * (1 - W388)</f>
        <v>20063.952000000001</v>
      </c>
      <c r="Z388">
        <f>Y388 - S388</f>
        <v>5700.5720000000019</v>
      </c>
      <c r="AA388">
        <f>IFERROR(Z388 / Y388, 0)</f>
        <v>0.2841200975759911</v>
      </c>
      <c r="AB388" t="str">
        <f>TEXT(C388, "mmmm")</f>
        <v>February</v>
      </c>
      <c r="AC388">
        <f>YEAR(C388)</f>
        <v>2025</v>
      </c>
      <c r="AD388" t="str">
        <f>IF(X388&lt;0, "Invalid: Ship Date Before Order Date", IF(W388&lt;0, "Invalid: Negative Discount", IF(W388&gt;0.5, "Invalid: Exceeds Allowed Discount", "OK")))</f>
        <v>OK</v>
      </c>
    </row>
    <row r="389" spans="1:30">
      <c r="A389" t="s">
        <v>1923</v>
      </c>
      <c r="B389" t="str">
        <f t="shared" si="6"/>
        <v>Unique</v>
      </c>
      <c r="C389" s="3">
        <v>45938</v>
      </c>
      <c r="D389" s="3">
        <v>45882</v>
      </c>
      <c r="E389" t="s">
        <v>1924</v>
      </c>
      <c r="F389" t="s">
        <v>142</v>
      </c>
      <c r="G389" t="s">
        <v>41</v>
      </c>
      <c r="H389" t="s">
        <v>73</v>
      </c>
      <c r="I389" t="s">
        <v>84</v>
      </c>
      <c r="J389" t="s">
        <v>85</v>
      </c>
      <c r="K389" t="s">
        <v>45</v>
      </c>
      <c r="L389" t="s">
        <v>76</v>
      </c>
      <c r="M389" t="s">
        <v>1925</v>
      </c>
      <c r="N389" t="s">
        <v>67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137</v>
      </c>
      <c r="V389" t="s">
        <v>78</v>
      </c>
      <c r="W389">
        <f>IF(ISBLANK(Q389), 0, IFERROR(VALUE(Q389), 0.7))</f>
        <v>0</v>
      </c>
      <c r="X389">
        <f>D389 - C389</f>
        <v>-56</v>
      </c>
      <c r="Y389">
        <f>O389 * P389 * (1 - W389)</f>
        <v>1764.3000000000002</v>
      </c>
      <c r="Z389">
        <f>Y389 - S389</f>
        <v>431.81000000000017</v>
      </c>
      <c r="AA389">
        <f>IFERROR(Z389 / Y389, 0)</f>
        <v>0.24474862551720236</v>
      </c>
      <c r="AB389" t="str">
        <f>TEXT(C389, "mmmm")</f>
        <v>October</v>
      </c>
      <c r="AC389">
        <f>YEAR(C389)</f>
        <v>2025</v>
      </c>
      <c r="AD389" t="str">
        <f>IF(X389&lt;0, "Invalid: Ship Date Before Order Date", IF(W389&lt;0, "Invalid: Negative Discount", IF(W389&gt;0.5, "Invalid: Exceeds Allowed Discount", "OK")))</f>
        <v>Invalid: Ship Date Before Order Date</v>
      </c>
    </row>
    <row r="390" spans="1:30">
      <c r="A390" t="s">
        <v>1926</v>
      </c>
      <c r="B390" t="str">
        <f t="shared" si="6"/>
        <v>Unique</v>
      </c>
      <c r="C390" s="3">
        <v>45425</v>
      </c>
      <c r="D390" s="3">
        <v>45430</v>
      </c>
      <c r="E390" t="s">
        <v>1929</v>
      </c>
      <c r="F390" t="s">
        <v>53</v>
      </c>
      <c r="G390" t="s">
        <v>41</v>
      </c>
      <c r="H390" t="s">
        <v>73</v>
      </c>
      <c r="I390" t="s">
        <v>235</v>
      </c>
      <c r="J390" t="s">
        <v>236</v>
      </c>
      <c r="K390" t="s">
        <v>45</v>
      </c>
      <c r="L390" t="s">
        <v>76</v>
      </c>
      <c r="M390" t="s">
        <v>1930</v>
      </c>
      <c r="N390" t="s">
        <v>67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34</v>
      </c>
      <c r="V390" t="s">
        <v>35</v>
      </c>
      <c r="W390">
        <f>IF(ISBLANK(Q390), 0, IFERROR(VALUE(Q390), 0.7))</f>
        <v>0</v>
      </c>
      <c r="X390">
        <f>D390 - C390</f>
        <v>5</v>
      </c>
      <c r="Y390">
        <f>O390 * P390 * (1 - W390)</f>
        <v>9385.77</v>
      </c>
      <c r="Z390">
        <f>Y390 - S390</f>
        <v>2513.3300000000008</v>
      </c>
      <c r="AA390">
        <f>IFERROR(Z390 / Y390, 0)</f>
        <v>0.26778090662779941</v>
      </c>
      <c r="AB390" t="str">
        <f>TEXT(C390, "mmmm")</f>
        <v>May</v>
      </c>
      <c r="AC390">
        <f>YEAR(C390)</f>
        <v>2024</v>
      </c>
      <c r="AD390" t="str">
        <f>IF(X390&lt;0, "Invalid: Ship Date Before Order Date", IF(W390&lt;0, "Invalid: Negative Discount", IF(W390&gt;0.5, "Invalid: Exceeds Allowed Discount", "OK")))</f>
        <v>OK</v>
      </c>
    </row>
    <row r="391" spans="1:30">
      <c r="A391" t="s">
        <v>1931</v>
      </c>
      <c r="B391" t="str">
        <f t="shared" si="6"/>
        <v>Unique</v>
      </c>
      <c r="C391" s="3">
        <v>45387</v>
      </c>
      <c r="D391" s="3">
        <v>45395</v>
      </c>
      <c r="E391" t="s">
        <v>1933</v>
      </c>
      <c r="F391" t="s">
        <v>210</v>
      </c>
      <c r="G391" t="s">
        <v>108</v>
      </c>
      <c r="H391" t="s">
        <v>73</v>
      </c>
      <c r="I391" t="s">
        <v>235</v>
      </c>
      <c r="J391" t="s">
        <v>236</v>
      </c>
      <c r="K391" t="s">
        <v>86</v>
      </c>
      <c r="L391" t="s">
        <v>382</v>
      </c>
      <c r="M391" t="s">
        <v>1934</v>
      </c>
      <c r="N391" t="s">
        <v>33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137</v>
      </c>
      <c r="V391" t="s">
        <v>78</v>
      </c>
      <c r="W391">
        <f>IF(ISBLANK(Q391), 0, IFERROR(VALUE(Q391), 0.7))</f>
        <v>0.2</v>
      </c>
      <c r="X391">
        <f>D391 - C391</f>
        <v>8</v>
      </c>
      <c r="Y391">
        <f>O391 * P391 * (1 - W391)</f>
        <v>7750.1600000000008</v>
      </c>
      <c r="Z391">
        <f>Y391 - S391</f>
        <v>2315.8600000000006</v>
      </c>
      <c r="AA391">
        <f>IFERROR(Z391 / Y391, 0)</f>
        <v>0.29881447608823564</v>
      </c>
      <c r="AB391" t="str">
        <f>TEXT(C391, "mmmm")</f>
        <v>April</v>
      </c>
      <c r="AC391">
        <f>YEAR(C391)</f>
        <v>2024</v>
      </c>
      <c r="AD391" t="str">
        <f>IF(X391&lt;0, "Invalid: Ship Date Before Order Date", IF(W391&lt;0, "Invalid: Negative Discount", IF(W391&gt;0.5, "Invalid: Exceeds Allowed Discount", "OK")))</f>
        <v>OK</v>
      </c>
    </row>
    <row r="392" spans="1:30">
      <c r="A392" t="s">
        <v>1935</v>
      </c>
      <c r="B392" t="str">
        <f t="shared" si="6"/>
        <v>Unique</v>
      </c>
      <c r="C392" s="3">
        <v>45602</v>
      </c>
      <c r="D392" s="3">
        <v>45607</v>
      </c>
      <c r="E392" t="s">
        <v>1937</v>
      </c>
      <c r="F392" t="s">
        <v>53</v>
      </c>
      <c r="G392" t="s">
        <v>26</v>
      </c>
      <c r="H392" t="s">
        <v>73</v>
      </c>
      <c r="I392" t="s">
        <v>235</v>
      </c>
      <c r="J392" t="s">
        <v>236</v>
      </c>
      <c r="K392" t="s">
        <v>45</v>
      </c>
      <c r="L392" t="s">
        <v>65</v>
      </c>
      <c r="M392" t="s">
        <v>1938</v>
      </c>
      <c r="N392" t="s">
        <v>67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34</v>
      </c>
      <c r="V392" t="s">
        <v>35</v>
      </c>
      <c r="W392">
        <f>IF(ISBLANK(Q392), 0, IFERROR(VALUE(Q392), 0.7))</f>
        <v>0.2</v>
      </c>
      <c r="X392">
        <f>D392 - C392</f>
        <v>5</v>
      </c>
      <c r="Y392">
        <f>O392 * P392 * (1 - W392)</f>
        <v>6135.232</v>
      </c>
      <c r="Z392">
        <f>Y392 - S392</f>
        <v>2695.442</v>
      </c>
      <c r="AA392">
        <f>IFERROR(Z392 / Y392, 0)</f>
        <v>0.43933823529411764</v>
      </c>
      <c r="AB392" t="str">
        <f>TEXT(C392, "mmmm")</f>
        <v>November</v>
      </c>
      <c r="AC392">
        <f>YEAR(C392)</f>
        <v>2024</v>
      </c>
      <c r="AD392" t="str">
        <f>IF(X392&lt;0, "Invalid: Ship Date Before Order Date", IF(W392&lt;0, "Invalid: Negative Discount", IF(W392&gt;0.5, "Invalid: Exceeds Allowed Discount", "OK")))</f>
        <v>OK</v>
      </c>
    </row>
    <row r="393" spans="1:30">
      <c r="A393" t="s">
        <v>1939</v>
      </c>
      <c r="B393" t="str">
        <f t="shared" si="6"/>
        <v>Unique</v>
      </c>
      <c r="C393" s="3">
        <v>45702</v>
      </c>
      <c r="D393" s="3">
        <v>45702</v>
      </c>
      <c r="E393" t="s">
        <v>1941</v>
      </c>
      <c r="F393" t="s">
        <v>210</v>
      </c>
      <c r="G393" t="s">
        <v>26</v>
      </c>
      <c r="H393" t="s">
        <v>62</v>
      </c>
      <c r="I393" t="s">
        <v>229</v>
      </c>
      <c r="J393" t="s">
        <v>230</v>
      </c>
      <c r="K393" t="s">
        <v>30</v>
      </c>
      <c r="L393" t="s">
        <v>156</v>
      </c>
      <c r="M393" t="s">
        <v>1942</v>
      </c>
      <c r="N393" t="s">
        <v>56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34</v>
      </c>
      <c r="V393" t="s">
        <v>35</v>
      </c>
      <c r="W393">
        <f>IF(ISBLANK(Q393), 0, IFERROR(VALUE(Q393), 0.7))</f>
        <v>0</v>
      </c>
      <c r="X393">
        <f>D393 - C393</f>
        <v>0</v>
      </c>
      <c r="Y393">
        <f>O393 * P393 * (1 - W393)</f>
        <v>714.43</v>
      </c>
      <c r="Z393">
        <f>Y393 - S393</f>
        <v>148.9899999999999</v>
      </c>
      <c r="AA393">
        <f>IFERROR(Z393 / Y393, 0)</f>
        <v>0.20854387413742412</v>
      </c>
      <c r="AB393" t="str">
        <f>TEXT(C393, "mmmm")</f>
        <v>February</v>
      </c>
      <c r="AC393">
        <f>YEAR(C393)</f>
        <v>2025</v>
      </c>
      <c r="AD393" t="str">
        <f>IF(X393&lt;0, "Invalid: Ship Date Before Order Date", IF(W393&lt;0, "Invalid: Negative Discount", IF(W393&gt;0.5, "Invalid: Exceeds Allowed Discount", "OK")))</f>
        <v>OK</v>
      </c>
    </row>
    <row r="394" spans="1:30">
      <c r="A394" t="s">
        <v>1943</v>
      </c>
      <c r="B394" t="str">
        <f t="shared" si="6"/>
        <v>Unique</v>
      </c>
      <c r="C394" s="3">
        <v>45341</v>
      </c>
      <c r="D394" s="3">
        <v>45344</v>
      </c>
      <c r="E394" t="s">
        <v>1946</v>
      </c>
      <c r="F394" t="s">
        <v>107</v>
      </c>
      <c r="G394" t="s">
        <v>41</v>
      </c>
      <c r="H394" t="s">
        <v>62</v>
      </c>
      <c r="I394" t="s">
        <v>242</v>
      </c>
      <c r="J394" t="s">
        <v>243</v>
      </c>
      <c r="K394" t="s">
        <v>45</v>
      </c>
      <c r="L394" t="s">
        <v>65</v>
      </c>
      <c r="M394" t="s">
        <v>1947</v>
      </c>
      <c r="N394" t="s">
        <v>48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34</v>
      </c>
      <c r="V394" t="s">
        <v>35</v>
      </c>
      <c r="W394">
        <f>IF(ISBLANK(Q394), 0, IFERROR(VALUE(Q394), 0.7))</f>
        <v>0</v>
      </c>
      <c r="X394">
        <f>D394 - C394</f>
        <v>3</v>
      </c>
      <c r="Y394">
        <f>O394 * P394 * (1 - W394)</f>
        <v>36477.090000000004</v>
      </c>
      <c r="Z394">
        <f>Y394 - S394</f>
        <v>11951.610000000004</v>
      </c>
      <c r="AA394">
        <f>IFERROR(Z394 / Y394, 0)</f>
        <v>0.32764702447481425</v>
      </c>
      <c r="AB394" t="str">
        <f>TEXT(C394, "mmmm")</f>
        <v>February</v>
      </c>
      <c r="AC394">
        <f>YEAR(C394)</f>
        <v>2024</v>
      </c>
      <c r="AD394" t="str">
        <f>IF(X394&lt;0, "Invalid: Ship Date Before Order Date", IF(W394&lt;0, "Invalid: Negative Discount", IF(W394&gt;0.5, "Invalid: Exceeds Allowed Discount", "OK")))</f>
        <v>OK</v>
      </c>
    </row>
    <row r="395" spans="1:30">
      <c r="A395" t="s">
        <v>1948</v>
      </c>
      <c r="B395" t="str">
        <f t="shared" si="6"/>
        <v>Unique</v>
      </c>
      <c r="C395" s="3">
        <v>45527</v>
      </c>
      <c r="D395" s="3">
        <v>45533</v>
      </c>
      <c r="E395" t="s">
        <v>1951</v>
      </c>
      <c r="F395" t="s">
        <v>40</v>
      </c>
      <c r="G395" t="s">
        <v>108</v>
      </c>
      <c r="H395" t="s">
        <v>27</v>
      </c>
      <c r="I395" t="s">
        <v>174</v>
      </c>
      <c r="J395" t="s">
        <v>175</v>
      </c>
      <c r="K395" t="s">
        <v>30</v>
      </c>
      <c r="L395" t="s">
        <v>109</v>
      </c>
      <c r="M395" t="s">
        <v>1952</v>
      </c>
      <c r="N395" t="s">
        <v>48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34</v>
      </c>
      <c r="V395" t="s">
        <v>35</v>
      </c>
      <c r="W395">
        <f>IF(ISBLANK(Q395), 0, IFERROR(VALUE(Q395), 0.7))</f>
        <v>0.05</v>
      </c>
      <c r="X395">
        <f>D395 - C395</f>
        <v>6</v>
      </c>
      <c r="Y395">
        <f>O395 * P395 * (1 - W395)</f>
        <v>3680.1289999999999</v>
      </c>
      <c r="Z395">
        <f>Y395 - S395</f>
        <v>712.66899999999987</v>
      </c>
      <c r="AA395">
        <f>IFERROR(Z395 / Y395, 0)</f>
        <v>0.19365326595888346</v>
      </c>
      <c r="AB395" t="str">
        <f>TEXT(C395, "mmmm")</f>
        <v>August</v>
      </c>
      <c r="AC395">
        <f>YEAR(C395)</f>
        <v>2024</v>
      </c>
      <c r="AD395" t="str">
        <f>IF(X395&lt;0, "Invalid: Ship Date Before Order Date", IF(W395&lt;0, "Invalid: Negative Discount", IF(W395&gt;0.5, "Invalid: Exceeds Allowed Discount", "OK")))</f>
        <v>OK</v>
      </c>
    </row>
    <row r="396" spans="1:30">
      <c r="A396" t="s">
        <v>1953</v>
      </c>
      <c r="B396" t="str">
        <f t="shared" si="6"/>
        <v>Unique</v>
      </c>
      <c r="C396" s="3">
        <v>45355</v>
      </c>
      <c r="D396" s="3">
        <v>45386</v>
      </c>
      <c r="E396" t="s">
        <v>1956</v>
      </c>
      <c r="F396" t="s">
        <v>366</v>
      </c>
      <c r="G396" t="s">
        <v>26</v>
      </c>
      <c r="H396" t="s">
        <v>73</v>
      </c>
      <c r="I396" t="s">
        <v>74</v>
      </c>
      <c r="J396" t="s">
        <v>75</v>
      </c>
      <c r="K396" t="s">
        <v>45</v>
      </c>
      <c r="L396" t="s">
        <v>65</v>
      </c>
      <c r="M396" t="s">
        <v>1957</v>
      </c>
      <c r="N396" t="s">
        <v>56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34</v>
      </c>
      <c r="V396" t="s">
        <v>35</v>
      </c>
      <c r="W396">
        <f>IF(ISBLANK(Q396), 0, IFERROR(VALUE(Q396), 0.7))</f>
        <v>0</v>
      </c>
      <c r="X396">
        <f>D396 - C396</f>
        <v>31</v>
      </c>
      <c r="Y396">
        <f>O396 * P396 * (1 - W396)</f>
        <v>27616.47</v>
      </c>
      <c r="Z396">
        <f>Y396 - S396</f>
        <v>6391.2100000000028</v>
      </c>
      <c r="AA396">
        <f>IFERROR(Z396 / Y396, 0)</f>
        <v>0.23142747787823725</v>
      </c>
      <c r="AB396" t="str">
        <f>TEXT(C396, "mmmm")</f>
        <v>March</v>
      </c>
      <c r="AC396">
        <f>YEAR(C396)</f>
        <v>2024</v>
      </c>
      <c r="AD396" t="str">
        <f>IF(X396&lt;0, "Invalid: Ship Date Before Order Date", IF(W396&lt;0, "Invalid: Negative Discount", IF(W396&gt;0.5, "Invalid: Exceeds Allowed Discount", "OK")))</f>
        <v>OK</v>
      </c>
    </row>
    <row r="397" spans="1:30">
      <c r="A397" t="s">
        <v>1958</v>
      </c>
      <c r="B397" t="str">
        <f t="shared" si="6"/>
        <v>Unique</v>
      </c>
      <c r="C397" s="3">
        <v>45449</v>
      </c>
      <c r="D397" s="3">
        <v>45450</v>
      </c>
      <c r="E397" t="s">
        <v>1959</v>
      </c>
      <c r="F397" t="s">
        <v>148</v>
      </c>
      <c r="G397" t="s">
        <v>115</v>
      </c>
      <c r="H397" t="s">
        <v>62</v>
      </c>
      <c r="I397" t="s">
        <v>339</v>
      </c>
      <c r="J397" t="s">
        <v>340</v>
      </c>
      <c r="K397" t="s">
        <v>45</v>
      </c>
      <c r="L397" t="s">
        <v>46</v>
      </c>
      <c r="M397" t="s">
        <v>1960</v>
      </c>
      <c r="N397" t="s">
        <v>48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34</v>
      </c>
      <c r="V397" t="s">
        <v>35</v>
      </c>
      <c r="W397">
        <f>IF(ISBLANK(Q397), 0, IFERROR(VALUE(Q397), 0.7))</f>
        <v>0.05</v>
      </c>
      <c r="X397">
        <f>D397 - C397</f>
        <v>1</v>
      </c>
      <c r="Y397">
        <f>O397 * P397 * (1 - W397)</f>
        <v>5731.7014999999992</v>
      </c>
      <c r="Z397">
        <f>Y397 - S397</f>
        <v>1616.1414999999988</v>
      </c>
      <c r="AA397">
        <f>IFERROR(Z397 / Y397, 0)</f>
        <v>0.28196539893084088</v>
      </c>
      <c r="AB397" t="str">
        <f>TEXT(C397, "mmmm")</f>
        <v>June</v>
      </c>
      <c r="AC397">
        <f>YEAR(C397)</f>
        <v>2024</v>
      </c>
      <c r="AD397" t="str">
        <f>IF(X397&lt;0, "Invalid: Ship Date Before Order Date", IF(W397&lt;0, "Invalid: Negative Discount", IF(W397&gt;0.5, "Invalid: Exceeds Allowed Discount", "OK")))</f>
        <v>OK</v>
      </c>
    </row>
    <row r="398" spans="1:30">
      <c r="A398" t="s">
        <v>1961</v>
      </c>
      <c r="B398" t="str">
        <f t="shared" si="6"/>
        <v>Unique</v>
      </c>
      <c r="C398" s="3">
        <v>45761</v>
      </c>
      <c r="D398" s="3">
        <v>45769</v>
      </c>
      <c r="E398" t="s">
        <v>1964</v>
      </c>
      <c r="F398" t="s">
        <v>107</v>
      </c>
      <c r="G398" t="s">
        <v>41</v>
      </c>
      <c r="H398" t="s">
        <v>62</v>
      </c>
      <c r="I398" t="s">
        <v>229</v>
      </c>
      <c r="J398" t="s">
        <v>230</v>
      </c>
      <c r="K398" t="s">
        <v>86</v>
      </c>
      <c r="L398" t="s">
        <v>382</v>
      </c>
      <c r="M398" t="s">
        <v>1965</v>
      </c>
      <c r="N398" t="s">
        <v>67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34</v>
      </c>
      <c r="V398" t="s">
        <v>35</v>
      </c>
      <c r="W398">
        <f>IF(ISBLANK(Q398), 0, IFERROR(VALUE(Q398), 0.7))</f>
        <v>0.05</v>
      </c>
      <c r="X398">
        <f>D398 - C398</f>
        <v>8</v>
      </c>
      <c r="Y398">
        <f>O398 * P398 * (1 - W398)</f>
        <v>1213.587</v>
      </c>
      <c r="Z398">
        <f>Y398 - S398</f>
        <v>257.36699999999996</v>
      </c>
      <c r="AA398">
        <f>IFERROR(Z398 / Y398, 0)</f>
        <v>0.21207132245154239</v>
      </c>
      <c r="AB398" t="str">
        <f>TEXT(C398, "mmmm")</f>
        <v>April</v>
      </c>
      <c r="AC398">
        <f>YEAR(C398)</f>
        <v>2025</v>
      </c>
      <c r="AD398" t="str">
        <f>IF(X398&lt;0, "Invalid: Ship Date Before Order Date", IF(W398&lt;0, "Invalid: Negative Discount", IF(W398&gt;0.5, "Invalid: Exceeds Allowed Discount", "OK")))</f>
        <v>OK</v>
      </c>
    </row>
    <row r="399" spans="1:30">
      <c r="A399" t="s">
        <v>1966</v>
      </c>
      <c r="B399" t="str">
        <f t="shared" si="6"/>
        <v>Unique</v>
      </c>
      <c r="C399" s="3">
        <v>45817</v>
      </c>
      <c r="D399" s="3">
        <v>45818</v>
      </c>
      <c r="E399" t="s">
        <v>1969</v>
      </c>
      <c r="F399" t="s">
        <v>168</v>
      </c>
      <c r="G399" t="s">
        <v>41</v>
      </c>
      <c r="H399" t="s">
        <v>27</v>
      </c>
      <c r="I399" t="s">
        <v>174</v>
      </c>
      <c r="J399" t="s">
        <v>175</v>
      </c>
      <c r="K399" t="s">
        <v>45</v>
      </c>
      <c r="L399" t="s">
        <v>46</v>
      </c>
      <c r="M399" t="s">
        <v>1970</v>
      </c>
      <c r="N399" t="s">
        <v>33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34</v>
      </c>
      <c r="V399" t="s">
        <v>35</v>
      </c>
      <c r="W399">
        <f>IF(ISBLANK(Q399), 0, IFERROR(VALUE(Q399), 0.7))</f>
        <v>0</v>
      </c>
      <c r="X399">
        <f>D399 - C399</f>
        <v>1</v>
      </c>
      <c r="Y399">
        <f>O399 * P399 * (1 - W399)</f>
        <v>3463.76</v>
      </c>
      <c r="Z399">
        <f>Y399 - S399</f>
        <v>1320.0200000000004</v>
      </c>
      <c r="AA399">
        <f>IFERROR(Z399 / Y399, 0)</f>
        <v>0.38109453310852959</v>
      </c>
      <c r="AB399" t="str">
        <f>TEXT(C399, "mmmm")</f>
        <v>June</v>
      </c>
      <c r="AC399">
        <f>YEAR(C399)</f>
        <v>2025</v>
      </c>
      <c r="AD399" t="str">
        <f>IF(X399&lt;0, "Invalid: Ship Date Before Order Date", IF(W399&lt;0, "Invalid: Negative Discount", IF(W399&gt;0.5, "Invalid: Exceeds Allowed Discount", "OK")))</f>
        <v>OK</v>
      </c>
    </row>
    <row r="400" spans="1:30">
      <c r="A400" t="s">
        <v>1971</v>
      </c>
      <c r="B400" t="str">
        <f t="shared" si="6"/>
        <v>Unique</v>
      </c>
      <c r="C400" s="3">
        <v>45492</v>
      </c>
      <c r="D400" s="3">
        <v>45499</v>
      </c>
      <c r="E400" t="s">
        <v>1974</v>
      </c>
      <c r="F400" t="s">
        <v>83</v>
      </c>
      <c r="G400" t="s">
        <v>108</v>
      </c>
      <c r="H400" t="s">
        <v>27</v>
      </c>
      <c r="I400" t="s">
        <v>154</v>
      </c>
      <c r="J400" t="s">
        <v>155</v>
      </c>
      <c r="K400" t="s">
        <v>86</v>
      </c>
      <c r="L400" t="s">
        <v>382</v>
      </c>
      <c r="M400" t="s">
        <v>1975</v>
      </c>
      <c r="N400" t="s">
        <v>48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34</v>
      </c>
      <c r="V400" t="s">
        <v>35</v>
      </c>
      <c r="W400">
        <f>IF(ISBLANK(Q400), 0, IFERROR(VALUE(Q400), 0.7))</f>
        <v>0.2</v>
      </c>
      <c r="X400">
        <f>D400 - C400</f>
        <v>7</v>
      </c>
      <c r="Y400">
        <f>O400 * P400 * (1 - W400)</f>
        <v>2021.8400000000001</v>
      </c>
      <c r="Z400">
        <f>Y400 - S400</f>
        <v>666.62000000000012</v>
      </c>
      <c r="AA400">
        <f>IFERROR(Z400 / Y400, 0)</f>
        <v>0.32970957147944452</v>
      </c>
      <c r="AB400" t="str">
        <f>TEXT(C400, "mmmm")</f>
        <v>July</v>
      </c>
      <c r="AC400">
        <f>YEAR(C400)</f>
        <v>2024</v>
      </c>
      <c r="AD400" t="str">
        <f>IF(X400&lt;0, "Invalid: Ship Date Before Order Date", IF(W400&lt;0, "Invalid: Negative Discount", IF(W400&gt;0.5, "Invalid: Exceeds Allowed Discount", "OK")))</f>
        <v>OK</v>
      </c>
    </row>
    <row r="401" spans="1:30">
      <c r="A401" t="s">
        <v>1976</v>
      </c>
      <c r="B401" t="str">
        <f t="shared" si="6"/>
        <v>Unique</v>
      </c>
      <c r="C401" s="3">
        <v>45771</v>
      </c>
      <c r="D401" s="3">
        <v>45776</v>
      </c>
      <c r="E401" t="s">
        <v>1979</v>
      </c>
      <c r="F401" t="s">
        <v>210</v>
      </c>
      <c r="G401" t="s">
        <v>41</v>
      </c>
      <c r="H401" t="s">
        <v>62</v>
      </c>
      <c r="I401" t="s">
        <v>100</v>
      </c>
      <c r="J401" t="s">
        <v>101</v>
      </c>
      <c r="K401" t="s">
        <v>30</v>
      </c>
      <c r="L401" t="s">
        <v>31</v>
      </c>
      <c r="M401" t="s">
        <v>1980</v>
      </c>
      <c r="N401" t="s">
        <v>48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34</v>
      </c>
      <c r="V401" t="s">
        <v>35</v>
      </c>
      <c r="W401">
        <f>IF(ISBLANK(Q401), 0, IFERROR(VALUE(Q401), 0.7))</f>
        <v>0.25</v>
      </c>
      <c r="X401">
        <f>D401 - C401</f>
        <v>5</v>
      </c>
      <c r="Y401">
        <f>O401 * P401 * (1 - W401)</f>
        <v>3268.875</v>
      </c>
      <c r="Z401">
        <f>Y401 - S401</f>
        <v>1275.135</v>
      </c>
      <c r="AA401">
        <f>IFERROR(Z401 / Y401, 0)</f>
        <v>0.39008374440747962</v>
      </c>
      <c r="AB401" t="str">
        <f>TEXT(C401, "mmmm")</f>
        <v>April</v>
      </c>
      <c r="AC401">
        <f>YEAR(C401)</f>
        <v>2025</v>
      </c>
      <c r="AD401" t="str">
        <f>IF(X401&lt;0, "Invalid: Ship Date Before Order Date", IF(W401&lt;0, "Invalid: Negative Discount", IF(W401&gt;0.5, "Invalid: Exceeds Allowed Discount", "OK")))</f>
        <v>OK</v>
      </c>
    </row>
    <row r="402" spans="1:30">
      <c r="A402" t="s">
        <v>1981</v>
      </c>
      <c r="B402" t="str">
        <f t="shared" si="6"/>
        <v>Unique</v>
      </c>
      <c r="C402" s="3">
        <v>45814</v>
      </c>
      <c r="D402" s="3">
        <v>45819</v>
      </c>
      <c r="E402" t="s">
        <v>1984</v>
      </c>
      <c r="F402" t="s">
        <v>168</v>
      </c>
      <c r="G402" t="s">
        <v>41</v>
      </c>
      <c r="H402" t="s">
        <v>27</v>
      </c>
      <c r="I402" t="s">
        <v>174</v>
      </c>
      <c r="J402" t="s">
        <v>175</v>
      </c>
      <c r="K402" t="s">
        <v>30</v>
      </c>
      <c r="L402" t="s">
        <v>31</v>
      </c>
      <c r="M402" t="s">
        <v>1985</v>
      </c>
      <c r="N402" t="s">
        <v>48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34</v>
      </c>
      <c r="V402" t="s">
        <v>35</v>
      </c>
      <c r="W402">
        <f>IF(ISBLANK(Q402), 0, IFERROR(VALUE(Q402), 0.7))</f>
        <v>-0.1</v>
      </c>
      <c r="X402">
        <f>D402 - C402</f>
        <v>5</v>
      </c>
      <c r="Y402">
        <f>O402 * P402 * (1 - W402)</f>
        <v>6761.2930000000006</v>
      </c>
      <c r="Z402">
        <f>Y402 - S402</f>
        <v>1883.9130000000005</v>
      </c>
      <c r="AA402">
        <f>IFERROR(Z402 / Y402, 0)</f>
        <v>0.27863206046535777</v>
      </c>
      <c r="AB402" t="str">
        <f>TEXT(C402, "mmmm")</f>
        <v>June</v>
      </c>
      <c r="AC402">
        <f>YEAR(C402)</f>
        <v>2025</v>
      </c>
      <c r="AD402" t="str">
        <f>IF(X402&lt;0, "Invalid: Ship Date Before Order Date", IF(W402&lt;0, "Invalid: Negative Discount", IF(W402&gt;0.5, "Invalid: Exceeds Allowed Discount", "OK")))</f>
        <v>Invalid: Negative Discount</v>
      </c>
    </row>
    <row r="403" spans="1:30">
      <c r="A403" t="s">
        <v>1986</v>
      </c>
      <c r="B403" t="str">
        <f t="shared" si="6"/>
        <v>Unique</v>
      </c>
      <c r="C403" s="3">
        <v>45725</v>
      </c>
      <c r="D403" s="3">
        <v>45732</v>
      </c>
      <c r="E403" t="s">
        <v>1989</v>
      </c>
      <c r="F403" t="s">
        <v>61</v>
      </c>
      <c r="G403" t="s">
        <v>41</v>
      </c>
      <c r="H403" t="s">
        <v>42</v>
      </c>
      <c r="I403" t="s">
        <v>311</v>
      </c>
      <c r="J403" t="s">
        <v>312</v>
      </c>
      <c r="K403" t="s">
        <v>45</v>
      </c>
      <c r="L403" t="s">
        <v>46</v>
      </c>
      <c r="M403" t="s">
        <v>1990</v>
      </c>
      <c r="N403" t="s">
        <v>48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34</v>
      </c>
      <c r="V403" t="s">
        <v>35</v>
      </c>
      <c r="W403">
        <f>IF(ISBLANK(Q403), 0, IFERROR(VALUE(Q403), 0.7))</f>
        <v>0</v>
      </c>
      <c r="X403">
        <f>D403 - C403</f>
        <v>7</v>
      </c>
      <c r="Y403">
        <f>O403 * P403 * (1 - W403)</f>
        <v>7877.5499999999993</v>
      </c>
      <c r="Z403">
        <f>Y403 - S403</f>
        <v>2314.7799999999988</v>
      </c>
      <c r="AA403">
        <f>IFERROR(Z403 / Y403, 0)</f>
        <v>0.29384516759652418</v>
      </c>
      <c r="AB403" t="str">
        <f>TEXT(C403, "mmmm")</f>
        <v>March</v>
      </c>
      <c r="AC403">
        <f>YEAR(C403)</f>
        <v>2025</v>
      </c>
      <c r="AD403" t="str">
        <f>IF(X403&lt;0, "Invalid: Ship Date Before Order Date", IF(W403&lt;0, "Invalid: Negative Discount", IF(W403&gt;0.5, "Invalid: Exceeds Allowed Discount", "OK")))</f>
        <v>OK</v>
      </c>
    </row>
    <row r="404" spans="1:30">
      <c r="A404" t="s">
        <v>1991</v>
      </c>
      <c r="B404" t="str">
        <f t="shared" si="6"/>
        <v>Unique</v>
      </c>
      <c r="C404" s="3">
        <v>45373</v>
      </c>
      <c r="D404" s="3">
        <v>45373</v>
      </c>
      <c r="E404" t="s">
        <v>1994</v>
      </c>
      <c r="F404" t="s">
        <v>142</v>
      </c>
      <c r="G404" t="s">
        <v>41</v>
      </c>
      <c r="H404" t="s">
        <v>62</v>
      </c>
      <c r="I404" t="s">
        <v>229</v>
      </c>
      <c r="J404" t="s">
        <v>230</v>
      </c>
      <c r="K404" t="s">
        <v>45</v>
      </c>
      <c r="L404" t="s">
        <v>46</v>
      </c>
      <c r="M404" t="s">
        <v>1995</v>
      </c>
      <c r="N404" t="s">
        <v>4110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34</v>
      </c>
      <c r="V404" t="s">
        <v>35</v>
      </c>
      <c r="W404">
        <f>IF(ISBLANK(Q404), 0, IFERROR(VALUE(Q404), 0.7))</f>
        <v>0</v>
      </c>
      <c r="X404">
        <f>D404 - C404</f>
        <v>0</v>
      </c>
      <c r="Y404">
        <f>O404 * P404 * (1 - W404)</f>
        <v>4095.7799999999997</v>
      </c>
      <c r="Z404">
        <f>Y404 - S404</f>
        <v>1288.0099999999998</v>
      </c>
      <c r="AA404">
        <f>IFERROR(Z404 / Y404, 0)</f>
        <v>0.31447245701673426</v>
      </c>
      <c r="AB404" t="str">
        <f>TEXT(C404, "mmmm")</f>
        <v>March</v>
      </c>
      <c r="AC404">
        <f>YEAR(C404)</f>
        <v>2024</v>
      </c>
      <c r="AD404" t="str">
        <f>IF(X404&lt;0, "Invalid: Ship Date Before Order Date", IF(W404&lt;0, "Invalid: Negative Discount", IF(W404&gt;0.5, "Invalid: Exceeds Allowed Discount", "OK")))</f>
        <v>OK</v>
      </c>
    </row>
    <row r="405" spans="1:30">
      <c r="A405" t="s">
        <v>1996</v>
      </c>
      <c r="B405" t="str">
        <f t="shared" si="6"/>
        <v>Unique</v>
      </c>
      <c r="C405" s="3">
        <v>45565</v>
      </c>
      <c r="D405" s="3">
        <v>45392</v>
      </c>
      <c r="E405" t="s">
        <v>1999</v>
      </c>
      <c r="F405" t="s">
        <v>61</v>
      </c>
      <c r="G405" t="s">
        <v>41</v>
      </c>
      <c r="H405" t="s">
        <v>62</v>
      </c>
      <c r="I405" t="s">
        <v>242</v>
      </c>
      <c r="J405" t="s">
        <v>243</v>
      </c>
      <c r="K405" t="s">
        <v>30</v>
      </c>
      <c r="L405" t="s">
        <v>31</v>
      </c>
      <c r="M405" t="s">
        <v>2001</v>
      </c>
      <c r="N405" t="s">
        <v>48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34</v>
      </c>
      <c r="V405" t="s">
        <v>125</v>
      </c>
      <c r="W405">
        <f>IF(ISBLANK(Q405), 0, IFERROR(VALUE(Q405), 0.7))</f>
        <v>0.05</v>
      </c>
      <c r="X405">
        <f>D405 - C405</f>
        <v>-173</v>
      </c>
      <c r="Y405">
        <f>O405 * P405 * (1 - W405)</f>
        <v>16683.1875</v>
      </c>
      <c r="Z405">
        <f>Y405 - S405</f>
        <v>6382.0275000000001</v>
      </c>
      <c r="AA405">
        <f>IFERROR(Z405 / Y405, 0)</f>
        <v>0.38254245479168775</v>
      </c>
      <c r="AB405" t="str">
        <f>TEXT(C405, "mmmm")</f>
        <v>September</v>
      </c>
      <c r="AC405">
        <f>YEAR(C405)</f>
        <v>2024</v>
      </c>
      <c r="AD405" t="str">
        <f>IF(X405&lt;0, "Invalid: Ship Date Before Order Date", IF(W405&lt;0, "Invalid: Negative Discount", IF(W405&gt;0.5, "Invalid: Exceeds Allowed Discount", "OK")))</f>
        <v>Invalid: Ship Date Before Order Date</v>
      </c>
    </row>
    <row r="406" spans="1:30">
      <c r="A406" t="s">
        <v>2002</v>
      </c>
      <c r="B406" t="str">
        <f t="shared" si="6"/>
        <v>Unique</v>
      </c>
      <c r="C406" s="3">
        <v>45318</v>
      </c>
      <c r="D406" s="3">
        <v>45325</v>
      </c>
      <c r="E406" t="s">
        <v>2005</v>
      </c>
      <c r="F406" t="s">
        <v>107</v>
      </c>
      <c r="G406" t="s">
        <v>108</v>
      </c>
      <c r="H406" t="s">
        <v>73</v>
      </c>
      <c r="I406" t="s">
        <v>28</v>
      </c>
      <c r="J406" t="s">
        <v>135</v>
      </c>
      <c r="K406" t="s">
        <v>45</v>
      </c>
      <c r="L406" t="s">
        <v>76</v>
      </c>
      <c r="M406" t="s">
        <v>2006</v>
      </c>
      <c r="N406" t="s">
        <v>48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34</v>
      </c>
      <c r="V406" t="s">
        <v>35</v>
      </c>
      <c r="W406">
        <f>IF(ISBLANK(Q406), 0, IFERROR(VALUE(Q406), 0.7))</f>
        <v>0</v>
      </c>
      <c r="X406">
        <f>D406 - C406</f>
        <v>7</v>
      </c>
      <c r="Y406">
        <f>O406 * P406 * (1 - W406)</f>
        <v>1078.83</v>
      </c>
      <c r="Z406">
        <f>Y406 - S406</f>
        <v>152.4799999999999</v>
      </c>
      <c r="AA406">
        <f>IFERROR(Z406 / Y406, 0)</f>
        <v>0.14133830167867034</v>
      </c>
      <c r="AB406" t="str">
        <f>TEXT(C406, "mmmm")</f>
        <v>January</v>
      </c>
      <c r="AC406">
        <f>YEAR(C406)</f>
        <v>2024</v>
      </c>
      <c r="AD406" t="str">
        <f>IF(X406&lt;0, "Invalid: Ship Date Before Order Date", IF(W406&lt;0, "Invalid: Negative Discount", IF(W406&gt;0.5, "Invalid: Exceeds Allowed Discount", "OK")))</f>
        <v>OK</v>
      </c>
    </row>
    <row r="407" spans="1:30">
      <c r="A407" t="s">
        <v>2007</v>
      </c>
      <c r="B407" t="str">
        <f t="shared" si="6"/>
        <v>Unique</v>
      </c>
      <c r="C407" s="3">
        <v>45558</v>
      </c>
      <c r="D407" s="3">
        <v>45559</v>
      </c>
      <c r="E407" t="s">
        <v>2010</v>
      </c>
      <c r="F407" t="s">
        <v>107</v>
      </c>
      <c r="G407" t="s">
        <v>115</v>
      </c>
      <c r="H407" t="s">
        <v>73</v>
      </c>
      <c r="I407" t="s">
        <v>235</v>
      </c>
      <c r="J407" t="s">
        <v>236</v>
      </c>
      <c r="K407" t="s">
        <v>45</v>
      </c>
      <c r="L407" t="s">
        <v>204</v>
      </c>
      <c r="M407" t="s">
        <v>2011</v>
      </c>
      <c r="N407" t="s">
        <v>4110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34</v>
      </c>
      <c r="V407" t="s">
        <v>35</v>
      </c>
      <c r="W407">
        <f>IF(ISBLANK(Q407), 0, IFERROR(VALUE(Q407), 0.7))</f>
        <v>0.1</v>
      </c>
      <c r="X407">
        <f>D407 - C407</f>
        <v>1</v>
      </c>
      <c r="Y407">
        <f>O407 * P407 * (1 - W407)</f>
        <v>24431.463</v>
      </c>
      <c r="Z407">
        <f>Y407 - S407</f>
        <v>6229.1029999999992</v>
      </c>
      <c r="AA407">
        <f>IFERROR(Z407 / Y407, 0)</f>
        <v>0.25496234097810677</v>
      </c>
      <c r="AB407" t="str">
        <f>TEXT(C407, "mmmm")</f>
        <v>September</v>
      </c>
      <c r="AC407">
        <f>YEAR(C407)</f>
        <v>2024</v>
      </c>
      <c r="AD407" t="str">
        <f>IF(X407&lt;0, "Invalid: Ship Date Before Order Date", IF(W407&lt;0, "Invalid: Negative Discount", IF(W407&gt;0.5, "Invalid: Exceeds Allowed Discount", "OK")))</f>
        <v>OK</v>
      </c>
    </row>
    <row r="408" spans="1:30">
      <c r="A408" t="s">
        <v>2012</v>
      </c>
      <c r="B408" t="str">
        <f t="shared" si="6"/>
        <v>Unique</v>
      </c>
      <c r="C408" s="3">
        <v>45713</v>
      </c>
      <c r="D408" s="3">
        <v>45713</v>
      </c>
      <c r="E408" t="s">
        <v>2014</v>
      </c>
      <c r="F408" t="s">
        <v>366</v>
      </c>
      <c r="G408" t="s">
        <v>41</v>
      </c>
      <c r="H408" t="s">
        <v>73</v>
      </c>
      <c r="I408" t="s">
        <v>249</v>
      </c>
      <c r="J408" t="s">
        <v>250</v>
      </c>
      <c r="K408" t="s">
        <v>45</v>
      </c>
      <c r="L408" t="s">
        <v>65</v>
      </c>
      <c r="M408" t="s">
        <v>2015</v>
      </c>
      <c r="N408" t="s">
        <v>67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137</v>
      </c>
      <c r="V408" t="s">
        <v>125</v>
      </c>
      <c r="W408">
        <f>IF(ISBLANK(Q408), 0, IFERROR(VALUE(Q408), 0.7))</f>
        <v>0.25</v>
      </c>
      <c r="X408">
        <f>D408 - C408</f>
        <v>0</v>
      </c>
      <c r="Y408">
        <f>O408 * P408 * (1 - W408)</f>
        <v>5886.2999999999993</v>
      </c>
      <c r="Z408">
        <f>Y408 - S408</f>
        <v>2264.5399999999991</v>
      </c>
      <c r="AA408">
        <f>IFERROR(Z408 / Y408, 0)</f>
        <v>0.38471365713606159</v>
      </c>
      <c r="AB408" t="str">
        <f>TEXT(C408, "mmmm")</f>
        <v>February</v>
      </c>
      <c r="AC408">
        <f>YEAR(C408)</f>
        <v>2025</v>
      </c>
      <c r="AD408" t="str">
        <f>IF(X408&lt;0, "Invalid: Ship Date Before Order Date", IF(W408&lt;0, "Invalid: Negative Discount", IF(W408&gt;0.5, "Invalid: Exceeds Allowed Discount", "OK")))</f>
        <v>OK</v>
      </c>
    </row>
    <row r="409" spans="1:30">
      <c r="A409" t="s">
        <v>2016</v>
      </c>
      <c r="B409" t="str">
        <f t="shared" si="6"/>
        <v>Unique</v>
      </c>
      <c r="C409" s="3">
        <v>45424</v>
      </c>
      <c r="D409" s="3">
        <v>45425</v>
      </c>
      <c r="E409" t="s">
        <v>2019</v>
      </c>
      <c r="F409" t="s">
        <v>148</v>
      </c>
      <c r="G409" t="s">
        <v>108</v>
      </c>
      <c r="H409" t="s">
        <v>73</v>
      </c>
      <c r="I409" t="s">
        <v>249</v>
      </c>
      <c r="J409" t="s">
        <v>250</v>
      </c>
      <c r="K409" t="s">
        <v>30</v>
      </c>
      <c r="L409" t="s">
        <v>109</v>
      </c>
      <c r="M409" t="s">
        <v>2020</v>
      </c>
      <c r="N409" t="s">
        <v>33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34</v>
      </c>
      <c r="V409" t="s">
        <v>35</v>
      </c>
      <c r="W409">
        <f>IF(ISBLANK(Q409), 0, IFERROR(VALUE(Q409), 0.7))</f>
        <v>0</v>
      </c>
      <c r="X409">
        <f>D409 - C409</f>
        <v>1</v>
      </c>
      <c r="Y409">
        <f>O409 * P409 * (1 - W409)</f>
        <v>7933.6500000000005</v>
      </c>
      <c r="Z409">
        <f>Y409 - S409</f>
        <v>2235.2300000000005</v>
      </c>
      <c r="AA409">
        <f>IFERROR(Z409 / Y409, 0)</f>
        <v>0.2817404347305465</v>
      </c>
      <c r="AB409" t="str">
        <f>TEXT(C409, "mmmm")</f>
        <v>May</v>
      </c>
      <c r="AC409">
        <f>YEAR(C409)</f>
        <v>2024</v>
      </c>
      <c r="AD409" t="str">
        <f>IF(X409&lt;0, "Invalid: Ship Date Before Order Date", IF(W409&lt;0, "Invalid: Negative Discount", IF(W409&gt;0.5, "Invalid: Exceeds Allowed Discount", "OK")))</f>
        <v>OK</v>
      </c>
    </row>
    <row r="410" spans="1:30">
      <c r="A410" t="s">
        <v>2021</v>
      </c>
      <c r="B410" t="str">
        <f t="shared" si="6"/>
        <v>Unique</v>
      </c>
      <c r="C410" s="3">
        <v>45870</v>
      </c>
      <c r="D410" s="3">
        <v>45872</v>
      </c>
      <c r="E410" t="s">
        <v>2022</v>
      </c>
      <c r="F410" t="s">
        <v>168</v>
      </c>
      <c r="G410" t="s">
        <v>26</v>
      </c>
      <c r="H410" t="s">
        <v>73</v>
      </c>
      <c r="I410" t="s">
        <v>74</v>
      </c>
      <c r="J410" t="s">
        <v>75</v>
      </c>
      <c r="K410" t="s">
        <v>45</v>
      </c>
      <c r="L410" t="s">
        <v>76</v>
      </c>
      <c r="M410" t="s">
        <v>2023</v>
      </c>
      <c r="N410" t="s">
        <v>56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200</v>
      </c>
      <c r="V410" t="s">
        <v>125</v>
      </c>
      <c r="W410">
        <f>IF(ISBLANK(Q410), 0, IFERROR(VALUE(Q410), 0.7))</f>
        <v>0</v>
      </c>
      <c r="X410">
        <f>D410 - C410</f>
        <v>2</v>
      </c>
      <c r="Y410">
        <f>O410 * P410 * (1 - W410)</f>
        <v>7093.84</v>
      </c>
      <c r="Z410">
        <f>Y410 - S410</f>
        <v>2506.3500000000004</v>
      </c>
      <c r="AA410">
        <f>IFERROR(Z410 / Y410, 0)</f>
        <v>0.35331357910525191</v>
      </c>
      <c r="AB410" t="str">
        <f>TEXT(C410, "mmmm")</f>
        <v>August</v>
      </c>
      <c r="AC410">
        <f>YEAR(C410)</f>
        <v>2025</v>
      </c>
      <c r="AD410" t="str">
        <f>IF(X410&lt;0, "Invalid: Ship Date Before Order Date", IF(W410&lt;0, "Invalid: Negative Discount", IF(W410&gt;0.5, "Invalid: Exceeds Allowed Discount", "OK")))</f>
        <v>OK</v>
      </c>
    </row>
    <row r="411" spans="1:30">
      <c r="A411" t="s">
        <v>2024</v>
      </c>
      <c r="B411" t="str">
        <f t="shared" si="6"/>
        <v>Unique</v>
      </c>
      <c r="C411" s="3">
        <v>45701</v>
      </c>
      <c r="D411" s="3">
        <v>45703</v>
      </c>
      <c r="E411" t="s">
        <v>2025</v>
      </c>
      <c r="F411" t="s">
        <v>25</v>
      </c>
      <c r="G411" t="s">
        <v>26</v>
      </c>
      <c r="H411" t="s">
        <v>42</v>
      </c>
      <c r="I411" t="s">
        <v>216</v>
      </c>
      <c r="J411" t="s">
        <v>217</v>
      </c>
      <c r="K411" t="s">
        <v>86</v>
      </c>
      <c r="L411" t="s">
        <v>87</v>
      </c>
      <c r="M411" t="s">
        <v>2026</v>
      </c>
      <c r="N411" t="s">
        <v>48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124</v>
      </c>
      <c r="V411" t="s">
        <v>125</v>
      </c>
      <c r="W411">
        <f>IF(ISBLANK(Q411), 0, IFERROR(VALUE(Q411), 0.7))</f>
        <v>0.25</v>
      </c>
      <c r="X411">
        <f>D411 - C411</f>
        <v>2</v>
      </c>
      <c r="Y411">
        <f>O411 * P411 * (1 - W411)</f>
        <v>2269.0950000000003</v>
      </c>
      <c r="Z411">
        <f>Y411 - S411</f>
        <v>675.50500000000034</v>
      </c>
      <c r="AA411">
        <f>IFERROR(Z411 / Y411, 0)</f>
        <v>0.29769798091309541</v>
      </c>
      <c r="AB411" t="str">
        <f>TEXT(C411, "mmmm")</f>
        <v>February</v>
      </c>
      <c r="AC411">
        <f>YEAR(C411)</f>
        <v>2025</v>
      </c>
      <c r="AD411" t="str">
        <f>IF(X411&lt;0, "Invalid: Ship Date Before Order Date", IF(W411&lt;0, "Invalid: Negative Discount", IF(W411&gt;0.5, "Invalid: Exceeds Allowed Discount", "OK")))</f>
        <v>OK</v>
      </c>
    </row>
    <row r="412" spans="1:30">
      <c r="A412" t="s">
        <v>2027</v>
      </c>
      <c r="B412" t="str">
        <f t="shared" si="6"/>
        <v>Unique</v>
      </c>
      <c r="C412" s="3">
        <v>45394</v>
      </c>
      <c r="D412" s="3">
        <v>45402</v>
      </c>
      <c r="E412" t="s">
        <v>2030</v>
      </c>
      <c r="F412" t="s">
        <v>210</v>
      </c>
      <c r="G412" t="s">
        <v>26</v>
      </c>
      <c r="H412" t="s">
        <v>73</v>
      </c>
      <c r="I412" t="s">
        <v>249</v>
      </c>
      <c r="J412" t="s">
        <v>250</v>
      </c>
      <c r="K412" t="s">
        <v>45</v>
      </c>
      <c r="L412" t="s">
        <v>46</v>
      </c>
      <c r="M412" t="s">
        <v>2031</v>
      </c>
      <c r="N412" t="s">
        <v>56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34</v>
      </c>
      <c r="V412" t="s">
        <v>35</v>
      </c>
      <c r="W412">
        <f>IF(ISBLANK(Q412), 0, IFERROR(VALUE(Q412), 0.7))</f>
        <v>0.2</v>
      </c>
      <c r="X412">
        <f>D412 - C412</f>
        <v>8</v>
      </c>
      <c r="Y412">
        <f>O412 * P412 * (1 - W412)</f>
        <v>9378.7919999999995</v>
      </c>
      <c r="Z412">
        <f>Y412 - S412</f>
        <v>2604.3119999999999</v>
      </c>
      <c r="AA412">
        <f>IFERROR(Z412 / Y412, 0)</f>
        <v>0.27768096360384154</v>
      </c>
      <c r="AB412" t="str">
        <f>TEXT(C412, "mmmm")</f>
        <v>April</v>
      </c>
      <c r="AC412">
        <f>YEAR(C412)</f>
        <v>2024</v>
      </c>
      <c r="AD412" t="str">
        <f>IF(X412&lt;0, "Invalid: Ship Date Before Order Date", IF(W412&lt;0, "Invalid: Negative Discount", IF(W412&gt;0.5, "Invalid: Exceeds Allowed Discount", "OK")))</f>
        <v>OK</v>
      </c>
    </row>
    <row r="413" spans="1:30">
      <c r="A413" t="s">
        <v>2032</v>
      </c>
      <c r="B413" t="str">
        <f t="shared" si="6"/>
        <v>Unique</v>
      </c>
      <c r="C413" s="3">
        <v>45892</v>
      </c>
      <c r="D413" s="3">
        <v>45897</v>
      </c>
      <c r="E413" t="s">
        <v>2035</v>
      </c>
      <c r="F413" t="s">
        <v>61</v>
      </c>
      <c r="G413" t="s">
        <v>115</v>
      </c>
      <c r="H413" t="s">
        <v>73</v>
      </c>
      <c r="I413" t="s">
        <v>28</v>
      </c>
      <c r="J413" t="s">
        <v>135</v>
      </c>
      <c r="K413" t="s">
        <v>45</v>
      </c>
      <c r="L413" t="s">
        <v>46</v>
      </c>
      <c r="M413" t="s">
        <v>2036</v>
      </c>
      <c r="N413" t="s">
        <v>56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200</v>
      </c>
      <c r="V413" t="s">
        <v>125</v>
      </c>
      <c r="W413">
        <f>IF(ISBLANK(Q413), 0, IFERROR(VALUE(Q413), 0.7))</f>
        <v>0.2</v>
      </c>
      <c r="X413">
        <f>D413 - C413</f>
        <v>5</v>
      </c>
      <c r="Y413">
        <f>O413 * P413 * (1 - W413)</f>
        <v>3334.2480000000005</v>
      </c>
      <c r="Z413">
        <f>Y413 - S413</f>
        <v>565.47800000000052</v>
      </c>
      <c r="AA413">
        <f>IFERROR(Z413 / Y413, 0)</f>
        <v>0.16959686262089696</v>
      </c>
      <c r="AB413" t="str">
        <f>TEXT(C413, "mmmm")</f>
        <v>August</v>
      </c>
      <c r="AC413">
        <f>YEAR(C413)</f>
        <v>2025</v>
      </c>
      <c r="AD413" t="str">
        <f>IF(X413&lt;0, "Invalid: Ship Date Before Order Date", IF(W413&lt;0, "Invalid: Negative Discount", IF(W413&gt;0.5, "Invalid: Exceeds Allowed Discount", "OK")))</f>
        <v>OK</v>
      </c>
    </row>
    <row r="414" spans="1:30">
      <c r="A414" t="s">
        <v>2037</v>
      </c>
      <c r="B414" t="str">
        <f t="shared" si="6"/>
        <v>Unique</v>
      </c>
      <c r="C414" s="3">
        <v>45313</v>
      </c>
      <c r="D414" s="3">
        <v>45321</v>
      </c>
      <c r="E414" t="s">
        <v>2039</v>
      </c>
      <c r="F414" t="s">
        <v>53</v>
      </c>
      <c r="G414" t="s">
        <v>108</v>
      </c>
      <c r="H414" t="s">
        <v>62</v>
      </c>
      <c r="I414" t="s">
        <v>229</v>
      </c>
      <c r="J414" t="s">
        <v>230</v>
      </c>
      <c r="K414" t="s">
        <v>45</v>
      </c>
      <c r="L414" t="s">
        <v>76</v>
      </c>
      <c r="M414" t="s">
        <v>2040</v>
      </c>
      <c r="N414" t="s">
        <v>48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34</v>
      </c>
      <c r="V414" t="s">
        <v>35</v>
      </c>
      <c r="W414">
        <f>IF(ISBLANK(Q414), 0, IFERROR(VALUE(Q414), 0.7))</f>
        <v>0.25</v>
      </c>
      <c r="X414">
        <f>D414 - C414</f>
        <v>8</v>
      </c>
      <c r="Y414">
        <f>O414 * P414 * (1 - W414)</f>
        <v>1583.5425</v>
      </c>
      <c r="Z414">
        <f>Y414 - S414</f>
        <v>569.35249999999996</v>
      </c>
      <c r="AA414">
        <f>IFERROR(Z414 / Y414, 0)</f>
        <v>0.35954355503562424</v>
      </c>
      <c r="AB414" t="str">
        <f>TEXT(C414, "mmmm")</f>
        <v>January</v>
      </c>
      <c r="AC414">
        <f>YEAR(C414)</f>
        <v>2024</v>
      </c>
      <c r="AD414" t="str">
        <f>IF(X414&lt;0, "Invalid: Ship Date Before Order Date", IF(W414&lt;0, "Invalid: Negative Discount", IF(W414&gt;0.5, "Invalid: Exceeds Allowed Discount", "OK")))</f>
        <v>OK</v>
      </c>
    </row>
    <row r="415" spans="1:30">
      <c r="A415" t="s">
        <v>2041</v>
      </c>
      <c r="B415" t="str">
        <f t="shared" si="6"/>
        <v>Unique</v>
      </c>
      <c r="C415" s="3">
        <v>45882</v>
      </c>
      <c r="D415" s="3">
        <v>45886</v>
      </c>
      <c r="E415" t="s">
        <v>2043</v>
      </c>
      <c r="F415" t="s">
        <v>93</v>
      </c>
      <c r="G415" t="s">
        <v>115</v>
      </c>
      <c r="H415" t="s">
        <v>73</v>
      </c>
      <c r="I415" t="s">
        <v>84</v>
      </c>
      <c r="J415" t="s">
        <v>85</v>
      </c>
      <c r="K415" t="s">
        <v>86</v>
      </c>
      <c r="L415" t="s">
        <v>87</v>
      </c>
      <c r="M415" t="s">
        <v>2044</v>
      </c>
      <c r="N415" t="s">
        <v>33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137</v>
      </c>
      <c r="V415" t="s">
        <v>78</v>
      </c>
      <c r="W415">
        <f>IF(ISBLANK(Q415), 0, IFERROR(VALUE(Q415), 0.7))</f>
        <v>0</v>
      </c>
      <c r="X415">
        <f>D415 - C415</f>
        <v>4</v>
      </c>
      <c r="Y415">
        <f>O415 * P415 * (1 - W415)</f>
        <v>15345.84</v>
      </c>
      <c r="Z415">
        <f>Y415 - S415</f>
        <v>4610.51</v>
      </c>
      <c r="AA415">
        <f>IFERROR(Z415 / Y415, 0)</f>
        <v>0.30044037993358463</v>
      </c>
      <c r="AB415" t="str">
        <f>TEXT(C415, "mmmm")</f>
        <v>August</v>
      </c>
      <c r="AC415">
        <f>YEAR(C415)</f>
        <v>2025</v>
      </c>
      <c r="AD415" t="str">
        <f>IF(X415&lt;0, "Invalid: Ship Date Before Order Date", IF(W415&lt;0, "Invalid: Negative Discount", IF(W415&gt;0.5, "Invalid: Exceeds Allowed Discount", "OK")))</f>
        <v>OK</v>
      </c>
    </row>
    <row r="416" spans="1:30">
      <c r="A416" t="s">
        <v>2045</v>
      </c>
      <c r="B416" t="str">
        <f t="shared" si="6"/>
        <v>Unique</v>
      </c>
      <c r="C416" s="3">
        <v>45533</v>
      </c>
      <c r="D416" s="3">
        <v>45534</v>
      </c>
      <c r="E416" t="s">
        <v>2048</v>
      </c>
      <c r="F416" t="s">
        <v>61</v>
      </c>
      <c r="G416" t="s">
        <v>115</v>
      </c>
      <c r="H416" t="s">
        <v>42</v>
      </c>
      <c r="I416" t="s">
        <v>216</v>
      </c>
      <c r="J416" t="s">
        <v>217</v>
      </c>
      <c r="K416" t="s">
        <v>30</v>
      </c>
      <c r="L416" t="s">
        <v>156</v>
      </c>
      <c r="M416" t="s">
        <v>2049</v>
      </c>
      <c r="N416" t="s">
        <v>56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34</v>
      </c>
      <c r="V416" t="s">
        <v>35</v>
      </c>
      <c r="W416">
        <f>IF(ISBLANK(Q416), 0, IFERROR(VALUE(Q416), 0.7))</f>
        <v>0.05</v>
      </c>
      <c r="X416">
        <f>D416 - C416</f>
        <v>1</v>
      </c>
      <c r="Y416">
        <f>O416 * P416 * (1 - W416)</f>
        <v>9439.503999999999</v>
      </c>
      <c r="Z416">
        <f>Y416 - S416</f>
        <v>3920.1139999999987</v>
      </c>
      <c r="AA416">
        <f>IFERROR(Z416 / Y416, 0)</f>
        <v>0.41528813378330037</v>
      </c>
      <c r="AB416" t="str">
        <f>TEXT(C416, "mmmm")</f>
        <v>August</v>
      </c>
      <c r="AC416">
        <f>YEAR(C416)</f>
        <v>2024</v>
      </c>
      <c r="AD416" t="str">
        <f>IF(X416&lt;0, "Invalid: Ship Date Before Order Date", IF(W416&lt;0, "Invalid: Negative Discount", IF(W416&gt;0.5, "Invalid: Exceeds Allowed Discount", "OK")))</f>
        <v>OK</v>
      </c>
    </row>
    <row r="417" spans="1:30">
      <c r="A417" t="s">
        <v>2050</v>
      </c>
      <c r="B417" t="str">
        <f t="shared" si="6"/>
        <v>Unique</v>
      </c>
      <c r="C417" s="3">
        <v>45316</v>
      </c>
      <c r="D417" s="3">
        <v>45318</v>
      </c>
      <c r="E417" t="s">
        <v>2052</v>
      </c>
      <c r="F417" t="s">
        <v>162</v>
      </c>
      <c r="G417" t="s">
        <v>108</v>
      </c>
      <c r="H417" t="s">
        <v>62</v>
      </c>
      <c r="I417" t="s">
        <v>229</v>
      </c>
      <c r="J417" t="s">
        <v>230</v>
      </c>
      <c r="K417" t="s">
        <v>30</v>
      </c>
      <c r="L417" t="s">
        <v>156</v>
      </c>
      <c r="M417" t="s">
        <v>2053</v>
      </c>
      <c r="N417" t="s">
        <v>48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34</v>
      </c>
      <c r="V417" t="s">
        <v>125</v>
      </c>
      <c r="W417">
        <f>IF(ISBLANK(Q417), 0, IFERROR(VALUE(Q417), 0.7))</f>
        <v>0.15</v>
      </c>
      <c r="X417">
        <f>D417 - C417</f>
        <v>2</v>
      </c>
      <c r="Y417">
        <f>O417 * P417 * (1 - W417)</f>
        <v>10277.197</v>
      </c>
      <c r="Z417">
        <f>Y417 - S417</f>
        <v>2370.6970000000001</v>
      </c>
      <c r="AA417">
        <f>IFERROR(Z417 / Y417, 0)</f>
        <v>0.23067544584384245</v>
      </c>
      <c r="AB417" t="str">
        <f>TEXT(C417, "mmmm")</f>
        <v>January</v>
      </c>
      <c r="AC417">
        <f>YEAR(C417)</f>
        <v>2024</v>
      </c>
      <c r="AD417" t="str">
        <f>IF(X417&lt;0, "Invalid: Ship Date Before Order Date", IF(W417&lt;0, "Invalid: Negative Discount", IF(W417&gt;0.5, "Invalid: Exceeds Allowed Discount", "OK")))</f>
        <v>OK</v>
      </c>
    </row>
    <row r="418" spans="1:30">
      <c r="A418" t="s">
        <v>2054</v>
      </c>
      <c r="B418" t="str">
        <f t="shared" si="6"/>
        <v>Unique</v>
      </c>
      <c r="C418" s="3">
        <v>45665</v>
      </c>
      <c r="D418" s="3">
        <v>45673</v>
      </c>
      <c r="E418" t="s">
        <v>2057</v>
      </c>
      <c r="F418" t="s">
        <v>93</v>
      </c>
      <c r="G418" t="s">
        <v>26</v>
      </c>
      <c r="H418" t="s">
        <v>62</v>
      </c>
      <c r="I418" t="s">
        <v>63</v>
      </c>
      <c r="J418" t="s">
        <v>64</v>
      </c>
      <c r="K418" t="s">
        <v>45</v>
      </c>
      <c r="L418" t="s">
        <v>65</v>
      </c>
      <c r="M418" t="s">
        <v>2058</v>
      </c>
      <c r="N418" t="s">
        <v>56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34</v>
      </c>
      <c r="V418" t="s">
        <v>35</v>
      </c>
      <c r="W418">
        <f>IF(ISBLANK(Q418), 0, IFERROR(VALUE(Q418), 0.7))</f>
        <v>0.25</v>
      </c>
      <c r="X418">
        <f>D418 - C418</f>
        <v>8</v>
      </c>
      <c r="Y418">
        <f>O418 * P418 * (1 - W418)</f>
        <v>3833.7000000000003</v>
      </c>
      <c r="Z418">
        <f>Y418 - S418</f>
        <v>947.35000000000036</v>
      </c>
      <c r="AA418">
        <f>IFERROR(Z418 / Y418, 0)</f>
        <v>0.24711114589039318</v>
      </c>
      <c r="AB418" t="str">
        <f>TEXT(C418, "mmmm")</f>
        <v>January</v>
      </c>
      <c r="AC418">
        <f>YEAR(C418)</f>
        <v>2025</v>
      </c>
      <c r="AD418" t="str">
        <f>IF(X418&lt;0, "Invalid: Ship Date Before Order Date", IF(W418&lt;0, "Invalid: Negative Discount", IF(W418&gt;0.5, "Invalid: Exceeds Allowed Discount", "OK")))</f>
        <v>OK</v>
      </c>
    </row>
    <row r="419" spans="1:30">
      <c r="A419" t="s">
        <v>2059</v>
      </c>
      <c r="B419" t="str">
        <f t="shared" si="6"/>
        <v>Unique</v>
      </c>
      <c r="C419" s="3">
        <v>45686</v>
      </c>
      <c r="D419" s="3">
        <v>45693</v>
      </c>
      <c r="E419" t="s">
        <v>2061</v>
      </c>
      <c r="F419" t="s">
        <v>40</v>
      </c>
      <c r="G419" t="s">
        <v>26</v>
      </c>
      <c r="H419" t="s">
        <v>73</v>
      </c>
      <c r="I419" t="s">
        <v>235</v>
      </c>
      <c r="J419" t="s">
        <v>236</v>
      </c>
      <c r="K419" t="s">
        <v>30</v>
      </c>
      <c r="L419" t="s">
        <v>54</v>
      </c>
      <c r="M419" t="s">
        <v>2062</v>
      </c>
      <c r="N419" t="s">
        <v>56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34</v>
      </c>
      <c r="V419" t="s">
        <v>35</v>
      </c>
      <c r="W419">
        <f>IF(ISBLANK(Q419), 0, IFERROR(VALUE(Q419), 0.7))</f>
        <v>0.2</v>
      </c>
      <c r="X419">
        <f>D419 - C419</f>
        <v>7</v>
      </c>
      <c r="Y419">
        <f>O419 * P419 * (1 - W419)</f>
        <v>18542.400000000001</v>
      </c>
      <c r="Z419">
        <f>Y419 - S419</f>
        <v>7348.6500000000015</v>
      </c>
      <c r="AA419">
        <f>IFERROR(Z419 / Y419, 0)</f>
        <v>0.39631601087237905</v>
      </c>
      <c r="AB419" t="str">
        <f>TEXT(C419, "mmmm")</f>
        <v>January</v>
      </c>
      <c r="AC419">
        <f>YEAR(C419)</f>
        <v>2025</v>
      </c>
      <c r="AD419" t="str">
        <f>IF(X419&lt;0, "Invalid: Ship Date Before Order Date", IF(W419&lt;0, "Invalid: Negative Discount", IF(W419&gt;0.5, "Invalid: Exceeds Allowed Discount", "OK")))</f>
        <v>OK</v>
      </c>
    </row>
    <row r="420" spans="1:30">
      <c r="A420" t="s">
        <v>2063</v>
      </c>
      <c r="B420" t="str">
        <f t="shared" si="6"/>
        <v>Unique</v>
      </c>
      <c r="C420" s="3">
        <v>45605</v>
      </c>
      <c r="D420" s="3">
        <v>45613</v>
      </c>
      <c r="E420" t="s">
        <v>2066</v>
      </c>
      <c r="F420" t="s">
        <v>168</v>
      </c>
      <c r="G420" t="s">
        <v>108</v>
      </c>
      <c r="H420" t="s">
        <v>42</v>
      </c>
      <c r="I420" t="s">
        <v>43</v>
      </c>
      <c r="J420" t="s">
        <v>44</v>
      </c>
      <c r="K420" t="s">
        <v>86</v>
      </c>
      <c r="L420" t="s">
        <v>94</v>
      </c>
      <c r="M420" t="s">
        <v>2067</v>
      </c>
      <c r="N420" t="s">
        <v>67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200</v>
      </c>
      <c r="V420" t="s">
        <v>78</v>
      </c>
      <c r="W420">
        <f>IF(ISBLANK(Q420), 0, IFERROR(VALUE(Q420), 0.7))</f>
        <v>0</v>
      </c>
      <c r="X420">
        <f>D420 - C420</f>
        <v>8</v>
      </c>
      <c r="Y420">
        <f>O420 * P420 * (1 - W420)</f>
        <v>21962.400000000001</v>
      </c>
      <c r="Z420">
        <f>Y420 - S420</f>
        <v>6630.4100000000017</v>
      </c>
      <c r="AA420">
        <f>IFERROR(Z420 / Y420, 0)</f>
        <v>0.3018982442720286</v>
      </c>
      <c r="AB420" t="str">
        <f>TEXT(C420, "mmmm")</f>
        <v>November</v>
      </c>
      <c r="AC420">
        <f>YEAR(C420)</f>
        <v>2024</v>
      </c>
      <c r="AD420" t="str">
        <f>IF(X420&lt;0, "Invalid: Ship Date Before Order Date", IF(W420&lt;0, "Invalid: Negative Discount", IF(W420&gt;0.5, "Invalid: Exceeds Allowed Discount", "OK")))</f>
        <v>OK</v>
      </c>
    </row>
    <row r="421" spans="1:30">
      <c r="A421" t="s">
        <v>2068</v>
      </c>
      <c r="B421" t="str">
        <f t="shared" si="6"/>
        <v>Unique</v>
      </c>
      <c r="C421" s="3">
        <v>45926</v>
      </c>
      <c r="D421" s="3">
        <v>45930</v>
      </c>
      <c r="E421" t="s">
        <v>2071</v>
      </c>
      <c r="F421" t="s">
        <v>168</v>
      </c>
      <c r="G421" t="s">
        <v>115</v>
      </c>
      <c r="H421" t="s">
        <v>27</v>
      </c>
      <c r="I421" t="s">
        <v>323</v>
      </c>
      <c r="J421" t="s">
        <v>324</v>
      </c>
      <c r="K421" t="s">
        <v>86</v>
      </c>
      <c r="L421" t="s">
        <v>223</v>
      </c>
      <c r="M421" t="s">
        <v>2072</v>
      </c>
      <c r="N421" t="s">
        <v>48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34</v>
      </c>
      <c r="V421" t="s">
        <v>35</v>
      </c>
      <c r="W421">
        <f>IF(ISBLANK(Q421), 0, IFERROR(VALUE(Q421), 0.7))</f>
        <v>0.05</v>
      </c>
      <c r="X421">
        <f>D421 - C421</f>
        <v>4</v>
      </c>
      <c r="Y421">
        <f>O421 * P421 * (1 - W421)</f>
        <v>1308.777</v>
      </c>
      <c r="Z421">
        <f>Y421 - S421</f>
        <v>465.77700000000004</v>
      </c>
      <c r="AA421">
        <f>IFERROR(Z421 / Y421, 0)</f>
        <v>0.35588721378813964</v>
      </c>
      <c r="AB421" t="str">
        <f>TEXT(C421, "mmmm")</f>
        <v>September</v>
      </c>
      <c r="AC421">
        <f>YEAR(C421)</f>
        <v>2025</v>
      </c>
      <c r="AD421" t="str">
        <f>IF(X421&lt;0, "Invalid: Ship Date Before Order Date", IF(W421&lt;0, "Invalid: Negative Discount", IF(W421&gt;0.5, "Invalid: Exceeds Allowed Discount", "OK")))</f>
        <v>OK</v>
      </c>
    </row>
    <row r="422" spans="1:30">
      <c r="A422" t="s">
        <v>2073</v>
      </c>
      <c r="B422" t="str">
        <f t="shared" si="6"/>
        <v>Unique</v>
      </c>
      <c r="C422" s="3">
        <v>45734</v>
      </c>
      <c r="D422" s="3">
        <v>45735</v>
      </c>
      <c r="E422" t="s">
        <v>2075</v>
      </c>
      <c r="F422" t="s">
        <v>53</v>
      </c>
      <c r="G422" t="s">
        <v>108</v>
      </c>
      <c r="H422" t="s">
        <v>62</v>
      </c>
      <c r="I422" t="s">
        <v>339</v>
      </c>
      <c r="J422" t="s">
        <v>340</v>
      </c>
      <c r="K422" t="s">
        <v>86</v>
      </c>
      <c r="L422" t="s">
        <v>382</v>
      </c>
      <c r="M422" t="s">
        <v>2076</v>
      </c>
      <c r="N422" t="s">
        <v>67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137</v>
      </c>
      <c r="V422" t="s">
        <v>78</v>
      </c>
      <c r="W422">
        <f>IF(ISBLANK(Q422), 0, IFERROR(VALUE(Q422), 0.7))</f>
        <v>0.25</v>
      </c>
      <c r="X422">
        <f>D422 - C422</f>
        <v>1</v>
      </c>
      <c r="Y422">
        <f>O422 * P422 * (1 - W422)</f>
        <v>1814.9850000000001</v>
      </c>
      <c r="Z422">
        <f>Y422 - S422</f>
        <v>694.92500000000018</v>
      </c>
      <c r="AA422">
        <f>IFERROR(Z422 / Y422, 0)</f>
        <v>0.38288195219244242</v>
      </c>
      <c r="AB422" t="str">
        <f>TEXT(C422, "mmmm")</f>
        <v>March</v>
      </c>
      <c r="AC422">
        <f>YEAR(C422)</f>
        <v>2025</v>
      </c>
      <c r="AD422" t="str">
        <f>IF(X422&lt;0, "Invalid: Ship Date Before Order Date", IF(W422&lt;0, "Invalid: Negative Discount", IF(W422&gt;0.5, "Invalid: Exceeds Allowed Discount", "OK")))</f>
        <v>OK</v>
      </c>
    </row>
    <row r="423" spans="1:30">
      <c r="A423" t="s">
        <v>2077</v>
      </c>
      <c r="B423" t="str">
        <f t="shared" si="6"/>
        <v>Unique</v>
      </c>
      <c r="C423" s="3">
        <v>45822</v>
      </c>
      <c r="D423" s="3">
        <v>45827</v>
      </c>
      <c r="E423" t="s">
        <v>2080</v>
      </c>
      <c r="F423" t="s">
        <v>180</v>
      </c>
      <c r="G423" t="s">
        <v>41</v>
      </c>
      <c r="H423" t="s">
        <v>27</v>
      </c>
      <c r="I423" t="s">
        <v>506</v>
      </c>
      <c r="J423" t="s">
        <v>507</v>
      </c>
      <c r="K423" t="s">
        <v>30</v>
      </c>
      <c r="L423" t="s">
        <v>198</v>
      </c>
      <c r="M423" t="s">
        <v>2081</v>
      </c>
      <c r="N423" t="s">
        <v>48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137</v>
      </c>
      <c r="V423" t="s">
        <v>125</v>
      </c>
      <c r="W423">
        <f>IF(ISBLANK(Q423), 0, IFERROR(VALUE(Q423), 0.7))</f>
        <v>0.2</v>
      </c>
      <c r="X423">
        <f>D423 - C423</f>
        <v>5</v>
      </c>
      <c r="Y423">
        <f>O423 * P423 * (1 - W423)</f>
        <v>2489.8800000000006</v>
      </c>
      <c r="Z423">
        <f>Y423 - S423</f>
        <v>782.36000000000058</v>
      </c>
      <c r="AA423">
        <f>IFERROR(Z423 / Y423, 0)</f>
        <v>0.31421594615001541</v>
      </c>
      <c r="AB423" t="str">
        <f>TEXT(C423, "mmmm")</f>
        <v>June</v>
      </c>
      <c r="AC423">
        <f>YEAR(C423)</f>
        <v>2025</v>
      </c>
      <c r="AD423" t="str">
        <f>IF(X423&lt;0, "Invalid: Ship Date Before Order Date", IF(W423&lt;0, "Invalid: Negative Discount", IF(W423&gt;0.5, "Invalid: Exceeds Allowed Discount", "OK")))</f>
        <v>OK</v>
      </c>
    </row>
    <row r="424" spans="1:30">
      <c r="A424" t="s">
        <v>2082</v>
      </c>
      <c r="B424" t="str">
        <f t="shared" si="6"/>
        <v>Unique</v>
      </c>
      <c r="C424" s="3">
        <v>45903</v>
      </c>
      <c r="D424" s="3">
        <v>45906</v>
      </c>
      <c r="E424" t="s">
        <v>2085</v>
      </c>
      <c r="F424" t="s">
        <v>366</v>
      </c>
      <c r="G424" t="s">
        <v>26</v>
      </c>
      <c r="H424" t="s">
        <v>73</v>
      </c>
      <c r="I424" t="s">
        <v>84</v>
      </c>
      <c r="J424" t="s">
        <v>85</v>
      </c>
      <c r="K424" t="s">
        <v>86</v>
      </c>
      <c r="L424" t="s">
        <v>94</v>
      </c>
      <c r="M424" t="s">
        <v>2086</v>
      </c>
      <c r="N424" t="s">
        <v>48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34</v>
      </c>
      <c r="V424" t="s">
        <v>35</v>
      </c>
      <c r="W424">
        <f>IF(ISBLANK(Q424), 0, IFERROR(VALUE(Q424), 0.7))</f>
        <v>0.15</v>
      </c>
      <c r="X424">
        <f>D424 - C424</f>
        <v>3</v>
      </c>
      <c r="Y424">
        <f>O424 * P424 * (1 - W424)</f>
        <v>4098.6574999999993</v>
      </c>
      <c r="Z424">
        <f>Y424 - S424</f>
        <v>1420.5974999999994</v>
      </c>
      <c r="AA424">
        <f>IFERROR(Z424 / Y424, 0)</f>
        <v>0.34660068571233377</v>
      </c>
      <c r="AB424" t="str">
        <f>TEXT(C424, "mmmm")</f>
        <v>September</v>
      </c>
      <c r="AC424">
        <f>YEAR(C424)</f>
        <v>2025</v>
      </c>
      <c r="AD424" t="str">
        <f>IF(X424&lt;0, "Invalid: Ship Date Before Order Date", IF(W424&lt;0, "Invalid: Negative Discount", IF(W424&gt;0.5, "Invalid: Exceeds Allowed Discount", "OK")))</f>
        <v>OK</v>
      </c>
    </row>
    <row r="425" spans="1:30">
      <c r="A425" t="s">
        <v>2087</v>
      </c>
      <c r="B425" t="str">
        <f t="shared" si="6"/>
        <v>Review: Duplicate Order ID</v>
      </c>
      <c r="C425" s="3">
        <v>45342</v>
      </c>
      <c r="D425" s="3">
        <v>45349</v>
      </c>
      <c r="E425" t="s">
        <v>2090</v>
      </c>
      <c r="F425" t="s">
        <v>210</v>
      </c>
      <c r="G425" t="s">
        <v>26</v>
      </c>
      <c r="H425" t="s">
        <v>62</v>
      </c>
      <c r="I425" t="s">
        <v>242</v>
      </c>
      <c r="J425" t="s">
        <v>243</v>
      </c>
      <c r="K425" t="s">
        <v>86</v>
      </c>
      <c r="L425" t="s">
        <v>87</v>
      </c>
      <c r="M425" t="s">
        <v>2091</v>
      </c>
      <c r="N425" t="s">
        <v>56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34</v>
      </c>
      <c r="V425" t="s">
        <v>35</v>
      </c>
      <c r="W425">
        <f>IF(ISBLANK(Q425), 0, IFERROR(VALUE(Q425), 0.7))</f>
        <v>0.2</v>
      </c>
      <c r="X425">
        <f>D425 - C425</f>
        <v>7</v>
      </c>
      <c r="Y425">
        <f>O425 * P425 * (1 - W425)</f>
        <v>27211.032000000003</v>
      </c>
      <c r="Z425">
        <f>Y425 - S425</f>
        <v>9270.6020000000026</v>
      </c>
      <c r="AA425">
        <f>IFERROR(Z425 / Y425, 0)</f>
        <v>0.34069277490100347</v>
      </c>
      <c r="AB425" t="str">
        <f>TEXT(C425, "mmmm")</f>
        <v>February</v>
      </c>
      <c r="AC425">
        <f>YEAR(C425)</f>
        <v>2024</v>
      </c>
      <c r="AD425" t="str">
        <f>IF(X425&lt;0, "Invalid: Ship Date Before Order Date", IF(W425&lt;0, "Invalid: Negative Discount", IF(W425&gt;0.5, "Invalid: Exceeds Allowed Discount", "OK")))</f>
        <v>OK</v>
      </c>
    </row>
    <row r="426" spans="1:30">
      <c r="A426" t="s">
        <v>2093</v>
      </c>
      <c r="B426" t="str">
        <f t="shared" si="6"/>
        <v>Unique</v>
      </c>
      <c r="C426" s="3">
        <v>45469</v>
      </c>
      <c r="D426" s="3">
        <v>45472</v>
      </c>
      <c r="E426" t="s">
        <v>2096</v>
      </c>
      <c r="F426" t="s">
        <v>93</v>
      </c>
      <c r="G426" t="s">
        <v>108</v>
      </c>
      <c r="H426" t="s">
        <v>27</v>
      </c>
      <c r="I426" t="s">
        <v>154</v>
      </c>
      <c r="J426" t="s">
        <v>155</v>
      </c>
      <c r="K426" t="s">
        <v>86</v>
      </c>
      <c r="L426" t="s">
        <v>223</v>
      </c>
      <c r="M426" t="s">
        <v>2097</v>
      </c>
      <c r="N426" t="s">
        <v>67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34</v>
      </c>
      <c r="V426" t="s">
        <v>35</v>
      </c>
      <c r="W426">
        <f>IF(ISBLANK(Q426), 0, IFERROR(VALUE(Q426), 0.7))</f>
        <v>0</v>
      </c>
      <c r="X426">
        <f>D426 - C426</f>
        <v>3</v>
      </c>
      <c r="Y426">
        <f>O426 * P426 * (1 - W426)</f>
        <v>6436.16</v>
      </c>
      <c r="Z426">
        <f>Y426 - S426</f>
        <v>2172.33</v>
      </c>
      <c r="AA426">
        <f>IFERROR(Z426 / Y426, 0)</f>
        <v>0.33751957689056827</v>
      </c>
      <c r="AB426" t="str">
        <f>TEXT(C426, "mmmm")</f>
        <v>June</v>
      </c>
      <c r="AC426">
        <f>YEAR(C426)</f>
        <v>2024</v>
      </c>
      <c r="AD426" t="str">
        <f>IF(X426&lt;0, "Invalid: Ship Date Before Order Date", IF(W426&lt;0, "Invalid: Negative Discount", IF(W426&gt;0.5, "Invalid: Exceeds Allowed Discount", "OK")))</f>
        <v>OK</v>
      </c>
    </row>
    <row r="427" spans="1:30">
      <c r="A427" t="s">
        <v>2098</v>
      </c>
      <c r="B427" t="str">
        <f t="shared" si="6"/>
        <v>Unique</v>
      </c>
      <c r="C427" s="3">
        <v>45561</v>
      </c>
      <c r="D427" s="3">
        <v>45562</v>
      </c>
      <c r="E427" t="s">
        <v>2101</v>
      </c>
      <c r="F427" t="s">
        <v>53</v>
      </c>
      <c r="G427" t="s">
        <v>115</v>
      </c>
      <c r="H427" t="s">
        <v>27</v>
      </c>
      <c r="I427" t="s">
        <v>506</v>
      </c>
      <c r="J427" t="s">
        <v>507</v>
      </c>
      <c r="K427" t="s">
        <v>30</v>
      </c>
      <c r="L427" t="s">
        <v>109</v>
      </c>
      <c r="M427" t="s">
        <v>2102</v>
      </c>
      <c r="N427" t="s">
        <v>56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124</v>
      </c>
      <c r="V427" t="s">
        <v>78</v>
      </c>
      <c r="W427">
        <f>IF(ISBLANK(Q427), 0, IFERROR(VALUE(Q427), 0.7))</f>
        <v>0.1</v>
      </c>
      <c r="X427">
        <f>D427 - C427</f>
        <v>1</v>
      </c>
      <c r="Y427">
        <f>O427 * P427 * (1 - W427)</f>
        <v>1918.2420000000002</v>
      </c>
      <c r="Z427">
        <f>Y427 - S427</f>
        <v>544.72200000000021</v>
      </c>
      <c r="AA427">
        <f>IFERROR(Z427 / Y427, 0)</f>
        <v>0.2839693844676533</v>
      </c>
      <c r="AB427" t="str">
        <f>TEXT(C427, "mmmm")</f>
        <v>September</v>
      </c>
      <c r="AC427">
        <f>YEAR(C427)</f>
        <v>2024</v>
      </c>
      <c r="AD427" t="str">
        <f>IF(X427&lt;0, "Invalid: Ship Date Before Order Date", IF(W427&lt;0, "Invalid: Negative Discount", IF(W427&gt;0.5, "Invalid: Exceeds Allowed Discount", "OK")))</f>
        <v>OK</v>
      </c>
    </row>
    <row r="428" spans="1:30">
      <c r="A428" t="s">
        <v>2103</v>
      </c>
      <c r="B428" t="str">
        <f t="shared" si="6"/>
        <v>Unique</v>
      </c>
      <c r="C428" s="3">
        <v>45473</v>
      </c>
      <c r="D428" s="3">
        <v>45298</v>
      </c>
      <c r="E428" t="s">
        <v>2106</v>
      </c>
      <c r="F428" t="s">
        <v>107</v>
      </c>
      <c r="G428" t="s">
        <v>26</v>
      </c>
      <c r="H428" t="s">
        <v>27</v>
      </c>
      <c r="I428" t="s">
        <v>323</v>
      </c>
      <c r="J428" t="s">
        <v>324</v>
      </c>
      <c r="K428" t="s">
        <v>86</v>
      </c>
      <c r="L428" t="s">
        <v>94</v>
      </c>
      <c r="M428" t="s">
        <v>2107</v>
      </c>
      <c r="N428" t="s">
        <v>48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34</v>
      </c>
      <c r="V428" t="s">
        <v>35</v>
      </c>
      <c r="W428">
        <f>IF(ISBLANK(Q428), 0, IFERROR(VALUE(Q428), 0.7))</f>
        <v>0.1</v>
      </c>
      <c r="X428">
        <f>D428 - C428</f>
        <v>-175</v>
      </c>
      <c r="Y428">
        <f>O428 * P428 * (1 - W428)</f>
        <v>27047.952000000001</v>
      </c>
      <c r="Z428">
        <f>Y428 - S428</f>
        <v>8616.6219999999994</v>
      </c>
      <c r="AA428">
        <f>IFERROR(Z428 / Y428, 0)</f>
        <v>0.31856837072174626</v>
      </c>
      <c r="AB428" t="str">
        <f>TEXT(C428, "mmmm")</f>
        <v>June</v>
      </c>
      <c r="AC428">
        <f>YEAR(C428)</f>
        <v>2024</v>
      </c>
      <c r="AD428" t="str">
        <f>IF(X428&lt;0, "Invalid: Ship Date Before Order Date", IF(W428&lt;0, "Invalid: Negative Discount", IF(W428&gt;0.5, "Invalid: Exceeds Allowed Discount", "OK")))</f>
        <v>Invalid: Ship Date Before Order Date</v>
      </c>
    </row>
    <row r="429" spans="1:30">
      <c r="A429" t="s">
        <v>2108</v>
      </c>
      <c r="B429" t="str">
        <f t="shared" si="6"/>
        <v>Unique</v>
      </c>
      <c r="C429" s="3">
        <v>45769</v>
      </c>
      <c r="D429" s="3">
        <v>45771</v>
      </c>
      <c r="E429" t="s">
        <v>2111</v>
      </c>
      <c r="F429" t="s">
        <v>53</v>
      </c>
      <c r="G429" t="s">
        <v>108</v>
      </c>
      <c r="H429" t="s">
        <v>4110</v>
      </c>
      <c r="I429" t="s">
        <v>311</v>
      </c>
      <c r="J429" t="s">
        <v>312</v>
      </c>
      <c r="K429" t="s">
        <v>86</v>
      </c>
      <c r="L429" t="s">
        <v>87</v>
      </c>
      <c r="M429" t="s">
        <v>2112</v>
      </c>
      <c r="N429" t="s">
        <v>67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34</v>
      </c>
      <c r="V429" t="s">
        <v>35</v>
      </c>
      <c r="W429">
        <f>IF(ISBLANK(Q429), 0, IFERROR(VALUE(Q429), 0.7))</f>
        <v>0</v>
      </c>
      <c r="X429">
        <f>D429 - C429</f>
        <v>2</v>
      </c>
      <c r="Y429">
        <f>O429 * P429 * (1 - W429)</f>
        <v>26454.959999999999</v>
      </c>
      <c r="Z429">
        <f>Y429 - S429</f>
        <v>8824.7099999999991</v>
      </c>
      <c r="AA429">
        <f>IFERROR(Z429 / Y429, 0)</f>
        <v>0.33357487594008833</v>
      </c>
      <c r="AB429" t="str">
        <f>TEXT(C429, "mmmm")</f>
        <v>April</v>
      </c>
      <c r="AC429">
        <f>YEAR(C429)</f>
        <v>2025</v>
      </c>
      <c r="AD429" t="str">
        <f>IF(X429&lt;0, "Invalid: Ship Date Before Order Date", IF(W429&lt;0, "Invalid: Negative Discount", IF(W429&gt;0.5, "Invalid: Exceeds Allowed Discount", "OK")))</f>
        <v>OK</v>
      </c>
    </row>
    <row r="430" spans="1:30">
      <c r="A430" t="s">
        <v>2113</v>
      </c>
      <c r="B430" t="str">
        <f t="shared" si="6"/>
        <v>Unique</v>
      </c>
      <c r="C430" s="3">
        <v>45731</v>
      </c>
      <c r="D430" s="3">
        <v>45738</v>
      </c>
      <c r="E430" t="s">
        <v>2116</v>
      </c>
      <c r="F430" t="s">
        <v>25</v>
      </c>
      <c r="G430" t="s">
        <v>41</v>
      </c>
      <c r="H430" t="s">
        <v>42</v>
      </c>
      <c r="I430" t="s">
        <v>121</v>
      </c>
      <c r="J430" t="s">
        <v>122</v>
      </c>
      <c r="K430" t="s">
        <v>86</v>
      </c>
      <c r="L430" t="s">
        <v>223</v>
      </c>
      <c r="M430" t="s">
        <v>2117</v>
      </c>
      <c r="N430" t="s">
        <v>48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137</v>
      </c>
      <c r="V430" t="s">
        <v>78</v>
      </c>
      <c r="W430">
        <f>IF(ISBLANK(Q430), 0, IFERROR(VALUE(Q430), 0.7))</f>
        <v>0.25</v>
      </c>
      <c r="X430">
        <f>D430 - C430</f>
        <v>7</v>
      </c>
      <c r="Y430">
        <f>O430 * P430 * (1 - W430)</f>
        <v>1853.895</v>
      </c>
      <c r="Z430">
        <f>Y430 - S430</f>
        <v>752.66499999999996</v>
      </c>
      <c r="AA430">
        <f>IFERROR(Z430 / Y430, 0)</f>
        <v>0.40599116994220275</v>
      </c>
      <c r="AB430" t="str">
        <f>TEXT(C430, "mmmm")</f>
        <v>March</v>
      </c>
      <c r="AC430">
        <f>YEAR(C430)</f>
        <v>2025</v>
      </c>
      <c r="AD430" t="str">
        <f>IF(X430&lt;0, "Invalid: Ship Date Before Order Date", IF(W430&lt;0, "Invalid: Negative Discount", IF(W430&gt;0.5, "Invalid: Exceeds Allowed Discount", "OK")))</f>
        <v>OK</v>
      </c>
    </row>
    <row r="431" spans="1:30">
      <c r="A431" t="s">
        <v>2118</v>
      </c>
      <c r="B431" t="str">
        <f t="shared" si="6"/>
        <v>Unique</v>
      </c>
      <c r="C431" s="3">
        <v>45717</v>
      </c>
      <c r="D431" s="3">
        <v>45872</v>
      </c>
      <c r="E431" t="s">
        <v>2121</v>
      </c>
      <c r="F431" t="s">
        <v>93</v>
      </c>
      <c r="G431" t="s">
        <v>115</v>
      </c>
      <c r="H431" t="s">
        <v>27</v>
      </c>
      <c r="I431" t="s">
        <v>28</v>
      </c>
      <c r="J431" t="s">
        <v>29</v>
      </c>
      <c r="K431" t="s">
        <v>86</v>
      </c>
      <c r="L431" t="s">
        <v>94</v>
      </c>
      <c r="M431" t="s">
        <v>2122</v>
      </c>
      <c r="N431" t="s">
        <v>48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34</v>
      </c>
      <c r="V431" t="s">
        <v>35</v>
      </c>
      <c r="W431">
        <f>IF(ISBLANK(Q431), 0, IFERROR(VALUE(Q431), 0.7))</f>
        <v>0.25</v>
      </c>
      <c r="X431">
        <f>D431 - C431</f>
        <v>155</v>
      </c>
      <c r="Y431">
        <f>O431 * P431 * (1 - W431)</f>
        <v>17658.599999999999</v>
      </c>
      <c r="Z431">
        <f>Y431 - S431</f>
        <v>3816.119999999999</v>
      </c>
      <c r="AA431">
        <f>IFERROR(Z431 / Y431, 0)</f>
        <v>0.2161054670245659</v>
      </c>
      <c r="AB431" t="str">
        <f>TEXT(C431, "mmmm")</f>
        <v>March</v>
      </c>
      <c r="AC431">
        <f>YEAR(C431)</f>
        <v>2025</v>
      </c>
      <c r="AD431" t="str">
        <f>IF(X431&lt;0, "Invalid: Ship Date Before Order Date", IF(W431&lt;0, "Invalid: Negative Discount", IF(W431&gt;0.5, "Invalid: Exceeds Allowed Discount", "OK")))</f>
        <v>OK</v>
      </c>
    </row>
    <row r="432" spans="1:30">
      <c r="A432" t="s">
        <v>2123</v>
      </c>
      <c r="B432" t="str">
        <f t="shared" si="6"/>
        <v>Unique</v>
      </c>
      <c r="C432" s="3">
        <v>45534</v>
      </c>
      <c r="D432" s="3">
        <v>45331</v>
      </c>
      <c r="E432" t="s">
        <v>2126</v>
      </c>
      <c r="F432" t="s">
        <v>93</v>
      </c>
      <c r="G432" t="s">
        <v>41</v>
      </c>
      <c r="H432" t="s">
        <v>27</v>
      </c>
      <c r="I432" t="s">
        <v>323</v>
      </c>
      <c r="J432" t="s">
        <v>324</v>
      </c>
      <c r="K432" t="s">
        <v>30</v>
      </c>
      <c r="L432" t="s">
        <v>31</v>
      </c>
      <c r="M432" t="s">
        <v>2127</v>
      </c>
      <c r="N432" t="s">
        <v>33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34</v>
      </c>
      <c r="V432" t="s">
        <v>35</v>
      </c>
      <c r="W432">
        <f>IF(ISBLANK(Q432), 0, IFERROR(VALUE(Q432), 0.7))</f>
        <v>0.15</v>
      </c>
      <c r="X432">
        <f>D432 - C432</f>
        <v>-203</v>
      </c>
      <c r="Y432">
        <f>O432 * P432 * (1 - W432)</f>
        <v>3672.7139999999999</v>
      </c>
      <c r="Z432">
        <f>Y432 - S432</f>
        <v>958.48399999999992</v>
      </c>
      <c r="AA432">
        <f>IFERROR(Z432 / Y432, 0)</f>
        <v>0.26097430946161337</v>
      </c>
      <c r="AB432" t="str">
        <f>TEXT(C432, "mmmm")</f>
        <v>August</v>
      </c>
      <c r="AC432">
        <f>YEAR(C432)</f>
        <v>2024</v>
      </c>
      <c r="AD432" t="str">
        <f>IF(X432&lt;0, "Invalid: Ship Date Before Order Date", IF(W432&lt;0, "Invalid: Negative Discount", IF(W432&gt;0.5, "Invalid: Exceeds Allowed Discount", "OK")))</f>
        <v>Invalid: Ship Date Before Order Date</v>
      </c>
    </row>
    <row r="433" spans="1:30">
      <c r="A433" t="s">
        <v>2128</v>
      </c>
      <c r="B433" t="str">
        <f t="shared" si="6"/>
        <v>Unique</v>
      </c>
      <c r="C433" s="3">
        <v>45332</v>
      </c>
      <c r="D433" s="3">
        <v>45335</v>
      </c>
      <c r="E433" t="s">
        <v>2131</v>
      </c>
      <c r="F433" t="s">
        <v>25</v>
      </c>
      <c r="G433" t="s">
        <v>115</v>
      </c>
      <c r="H433" t="s">
        <v>73</v>
      </c>
      <c r="I433" t="s">
        <v>249</v>
      </c>
      <c r="J433" t="s">
        <v>250</v>
      </c>
      <c r="K433" t="s">
        <v>86</v>
      </c>
      <c r="L433" t="s">
        <v>382</v>
      </c>
      <c r="M433" t="s">
        <v>2132</v>
      </c>
      <c r="N433" t="s">
        <v>48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34</v>
      </c>
      <c r="V433" t="s">
        <v>35</v>
      </c>
      <c r="W433">
        <f>IF(ISBLANK(Q433), 0, IFERROR(VALUE(Q433), 0.7))</f>
        <v>0.25</v>
      </c>
      <c r="X433">
        <f>D433 - C433</f>
        <v>3</v>
      </c>
      <c r="Y433">
        <f>O433 * P433 * (1 - W433)</f>
        <v>6177.6749999999993</v>
      </c>
      <c r="Z433">
        <f>Y433 - S433</f>
        <v>1656.9249999999993</v>
      </c>
      <c r="AA433">
        <f>IFERROR(Z433 / Y433, 0)</f>
        <v>0.26821174632851347</v>
      </c>
      <c r="AB433" t="str">
        <f>TEXT(C433, "mmmm")</f>
        <v>February</v>
      </c>
      <c r="AC433">
        <f>YEAR(C433)</f>
        <v>2024</v>
      </c>
      <c r="AD433" t="str">
        <f>IF(X433&lt;0, "Invalid: Ship Date Before Order Date", IF(W433&lt;0, "Invalid: Negative Discount", IF(W433&gt;0.5, "Invalid: Exceeds Allowed Discount", "OK")))</f>
        <v>OK</v>
      </c>
    </row>
    <row r="434" spans="1:30">
      <c r="A434" t="s">
        <v>2133</v>
      </c>
      <c r="B434" t="str">
        <f t="shared" si="6"/>
        <v>Unique</v>
      </c>
      <c r="C434" s="3">
        <v>45533</v>
      </c>
      <c r="D434" s="3">
        <v>45331</v>
      </c>
      <c r="E434" t="s">
        <v>2134</v>
      </c>
      <c r="F434" t="s">
        <v>142</v>
      </c>
      <c r="G434" t="s">
        <v>41</v>
      </c>
      <c r="H434" t="s">
        <v>73</v>
      </c>
      <c r="I434" t="s">
        <v>74</v>
      </c>
      <c r="J434" t="s">
        <v>75</v>
      </c>
      <c r="K434" t="s">
        <v>45</v>
      </c>
      <c r="L434" t="s">
        <v>204</v>
      </c>
      <c r="M434" t="s">
        <v>2135</v>
      </c>
      <c r="N434" t="s">
        <v>67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34</v>
      </c>
      <c r="V434" t="s">
        <v>35</v>
      </c>
      <c r="W434">
        <f>IF(ISBLANK(Q434), 0, IFERROR(VALUE(Q434), 0.7))</f>
        <v>0.05</v>
      </c>
      <c r="X434">
        <f>D434 - C434</f>
        <v>-202</v>
      </c>
      <c r="Y434">
        <f>O434 * P434 * (1 - W434)</f>
        <v>985.07400000000007</v>
      </c>
      <c r="Z434">
        <f>Y434 - S434</f>
        <v>140.59400000000005</v>
      </c>
      <c r="AA434">
        <f>IFERROR(Z434 / Y434, 0)</f>
        <v>0.14272430294576857</v>
      </c>
      <c r="AB434" t="str">
        <f>TEXT(C434, "mmmm")</f>
        <v>August</v>
      </c>
      <c r="AC434">
        <f>YEAR(C434)</f>
        <v>2024</v>
      </c>
      <c r="AD434" t="str">
        <f>IF(X434&lt;0, "Invalid: Ship Date Before Order Date", IF(W434&lt;0, "Invalid: Negative Discount", IF(W434&gt;0.5, "Invalid: Exceeds Allowed Discount", "OK")))</f>
        <v>Invalid: Ship Date Before Order Date</v>
      </c>
    </row>
    <row r="435" spans="1:30">
      <c r="A435" t="s">
        <v>2136</v>
      </c>
      <c r="B435" t="str">
        <f t="shared" si="6"/>
        <v>Unique</v>
      </c>
      <c r="C435" s="3">
        <v>45401</v>
      </c>
      <c r="D435" s="3">
        <v>45402</v>
      </c>
      <c r="E435" t="s">
        <v>2139</v>
      </c>
      <c r="F435" t="s">
        <v>142</v>
      </c>
      <c r="G435" t="s">
        <v>108</v>
      </c>
      <c r="H435" t="s">
        <v>62</v>
      </c>
      <c r="I435" t="s">
        <v>242</v>
      </c>
      <c r="J435" t="s">
        <v>243</v>
      </c>
      <c r="K435" t="s">
        <v>30</v>
      </c>
      <c r="L435" t="s">
        <v>54</v>
      </c>
      <c r="M435" t="s">
        <v>2140</v>
      </c>
      <c r="N435" t="s">
        <v>33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124</v>
      </c>
      <c r="V435" t="s">
        <v>125</v>
      </c>
      <c r="W435">
        <f>IF(ISBLANK(Q435), 0, IFERROR(VALUE(Q435), 0.7))</f>
        <v>0</v>
      </c>
      <c r="X435">
        <f>D435 - C435</f>
        <v>1</v>
      </c>
      <c r="Y435">
        <f>O435 * P435 * (1 - W435)</f>
        <v>6160.88</v>
      </c>
      <c r="Z435">
        <f>Y435 - S435</f>
        <v>1222.1800000000003</v>
      </c>
      <c r="AA435">
        <f>IFERROR(Z435 / Y435, 0)</f>
        <v>0.19837750451234243</v>
      </c>
      <c r="AB435" t="str">
        <f>TEXT(C435, "mmmm")</f>
        <v>April</v>
      </c>
      <c r="AC435">
        <f>YEAR(C435)</f>
        <v>2024</v>
      </c>
      <c r="AD435" t="str">
        <f>IF(X435&lt;0, "Invalid: Ship Date Before Order Date", IF(W435&lt;0, "Invalid: Negative Discount", IF(W435&gt;0.5, "Invalid: Exceeds Allowed Discount", "OK")))</f>
        <v>OK</v>
      </c>
    </row>
    <row r="436" spans="1:30">
      <c r="A436" t="s">
        <v>2141</v>
      </c>
      <c r="B436" t="str">
        <f t="shared" si="6"/>
        <v>Unique</v>
      </c>
      <c r="C436" s="3">
        <v>45758</v>
      </c>
      <c r="D436" s="3">
        <v>45762</v>
      </c>
      <c r="E436" t="s">
        <v>2144</v>
      </c>
      <c r="F436" t="s">
        <v>40</v>
      </c>
      <c r="G436" t="s">
        <v>115</v>
      </c>
      <c r="H436" t="s">
        <v>27</v>
      </c>
      <c r="I436" t="s">
        <v>174</v>
      </c>
      <c r="J436" t="s">
        <v>175</v>
      </c>
      <c r="K436" t="s">
        <v>86</v>
      </c>
      <c r="L436" t="s">
        <v>87</v>
      </c>
      <c r="M436" t="s">
        <v>2145</v>
      </c>
      <c r="N436" t="s">
        <v>33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34</v>
      </c>
      <c r="V436" t="s">
        <v>35</v>
      </c>
      <c r="W436">
        <f>IF(ISBLANK(Q436), 0, IFERROR(VALUE(Q436), 0.7))</f>
        <v>0</v>
      </c>
      <c r="X436">
        <f>D436 - C436</f>
        <v>4</v>
      </c>
      <c r="Y436">
        <f>O436 * P436 * (1 - W436)</f>
        <v>3263.8999999999996</v>
      </c>
      <c r="Z436">
        <f>Y436 - S436</f>
        <v>1195.4599999999996</v>
      </c>
      <c r="AA436">
        <f>IFERROR(Z436 / Y436, 0)</f>
        <v>0.3662673488771101</v>
      </c>
      <c r="AB436" t="str">
        <f>TEXT(C436, "mmmm")</f>
        <v>April</v>
      </c>
      <c r="AC436">
        <f>YEAR(C436)</f>
        <v>2025</v>
      </c>
      <c r="AD436" t="str">
        <f>IF(X436&lt;0, "Invalid: Ship Date Before Order Date", IF(W436&lt;0, "Invalid: Negative Discount", IF(W436&gt;0.5, "Invalid: Exceeds Allowed Discount", "OK")))</f>
        <v>OK</v>
      </c>
    </row>
    <row r="437" spans="1:30">
      <c r="A437" t="s">
        <v>2146</v>
      </c>
      <c r="B437" t="str">
        <f t="shared" si="6"/>
        <v>Unique</v>
      </c>
      <c r="C437" s="3">
        <v>45759</v>
      </c>
      <c r="D437" s="3">
        <v>45767</v>
      </c>
      <c r="E437" t="s">
        <v>2148</v>
      </c>
      <c r="F437" t="s">
        <v>366</v>
      </c>
      <c r="G437" t="s">
        <v>115</v>
      </c>
      <c r="H437" t="s">
        <v>27</v>
      </c>
      <c r="I437" t="s">
        <v>506</v>
      </c>
      <c r="J437" t="s">
        <v>507</v>
      </c>
      <c r="K437" t="s">
        <v>86</v>
      </c>
      <c r="L437" t="s">
        <v>382</v>
      </c>
      <c r="M437" t="s">
        <v>2149</v>
      </c>
      <c r="N437" t="s">
        <v>67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34</v>
      </c>
      <c r="V437" t="s">
        <v>78</v>
      </c>
      <c r="W437">
        <f>IF(ISBLANK(Q437), 0, IFERROR(VALUE(Q437), 0.7))</f>
        <v>0.15</v>
      </c>
      <c r="X437">
        <f>D437 - C437</f>
        <v>8</v>
      </c>
      <c r="Y437">
        <f>O437 * P437 * (1 - W437)</f>
        <v>2327.0535</v>
      </c>
      <c r="Z437">
        <f>Y437 - S437</f>
        <v>407.63349999999991</v>
      </c>
      <c r="AA437">
        <f>IFERROR(Z437 / Y437, 0)</f>
        <v>0.17517152055163318</v>
      </c>
      <c r="AB437" t="str">
        <f>TEXT(C437, "mmmm")</f>
        <v>April</v>
      </c>
      <c r="AC437">
        <f>YEAR(C437)</f>
        <v>2025</v>
      </c>
      <c r="AD437" t="str">
        <f>IF(X437&lt;0, "Invalid: Ship Date Before Order Date", IF(W437&lt;0, "Invalid: Negative Discount", IF(W437&gt;0.5, "Invalid: Exceeds Allowed Discount", "OK")))</f>
        <v>OK</v>
      </c>
    </row>
    <row r="438" spans="1:30">
      <c r="A438" t="s">
        <v>2150</v>
      </c>
      <c r="B438" t="str">
        <f t="shared" si="6"/>
        <v>Unique</v>
      </c>
      <c r="C438" s="3">
        <v>45459</v>
      </c>
      <c r="D438" s="3">
        <v>45464</v>
      </c>
      <c r="E438" t="s">
        <v>2153</v>
      </c>
      <c r="F438" t="s">
        <v>93</v>
      </c>
      <c r="G438" t="s">
        <v>26</v>
      </c>
      <c r="H438" t="s">
        <v>62</v>
      </c>
      <c r="I438" t="s">
        <v>242</v>
      </c>
      <c r="J438" t="s">
        <v>243</v>
      </c>
      <c r="K438" t="s">
        <v>45</v>
      </c>
      <c r="L438" t="s">
        <v>65</v>
      </c>
      <c r="M438" t="s">
        <v>2154</v>
      </c>
      <c r="N438" t="s">
        <v>48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34</v>
      </c>
      <c r="V438" t="s">
        <v>125</v>
      </c>
      <c r="W438">
        <f>IF(ISBLANK(Q438), 0, IFERROR(VALUE(Q438), 0.7))</f>
        <v>0.05</v>
      </c>
      <c r="X438">
        <f>D438 - C438</f>
        <v>5</v>
      </c>
      <c r="Y438">
        <f>O438 * P438 * (1 - W438)</f>
        <v>6593.6459999999997</v>
      </c>
      <c r="Z438">
        <f>Y438 - S438</f>
        <v>2234.2559999999994</v>
      </c>
      <c r="AA438">
        <f>IFERROR(Z438 / Y438, 0)</f>
        <v>0.33884985636171544</v>
      </c>
      <c r="AB438" t="str">
        <f>TEXT(C438, "mmmm")</f>
        <v>June</v>
      </c>
      <c r="AC438">
        <f>YEAR(C438)</f>
        <v>2024</v>
      </c>
      <c r="AD438" t="str">
        <f>IF(X438&lt;0, "Invalid: Ship Date Before Order Date", IF(W438&lt;0, "Invalid: Negative Discount", IF(W438&gt;0.5, "Invalid: Exceeds Allowed Discount", "OK")))</f>
        <v>OK</v>
      </c>
    </row>
    <row r="439" spans="1:30">
      <c r="A439" t="s">
        <v>2155</v>
      </c>
      <c r="B439" t="str">
        <f t="shared" si="6"/>
        <v>Unique</v>
      </c>
      <c r="C439" s="3">
        <v>45337</v>
      </c>
      <c r="D439" s="3">
        <v>45340</v>
      </c>
      <c r="E439" t="s">
        <v>2158</v>
      </c>
      <c r="F439" t="s">
        <v>107</v>
      </c>
      <c r="G439" t="s">
        <v>41</v>
      </c>
      <c r="H439" t="s">
        <v>62</v>
      </c>
      <c r="I439" t="s">
        <v>242</v>
      </c>
      <c r="J439" t="s">
        <v>243</v>
      </c>
      <c r="K439" t="s">
        <v>86</v>
      </c>
      <c r="L439" t="s">
        <v>87</v>
      </c>
      <c r="M439" t="s">
        <v>2159</v>
      </c>
      <c r="N439" t="s">
        <v>48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200</v>
      </c>
      <c r="V439" t="s">
        <v>125</v>
      </c>
      <c r="W439">
        <f>IF(ISBLANK(Q439), 0, IFERROR(VALUE(Q439), 0.7))</f>
        <v>0.05</v>
      </c>
      <c r="X439">
        <f>D439 - C439</f>
        <v>3</v>
      </c>
      <c r="Y439">
        <f>O439 * P439 * (1 - W439)</f>
        <v>2886.6319999999996</v>
      </c>
      <c r="Z439">
        <f>Y439 - S439</f>
        <v>1298.4019999999996</v>
      </c>
      <c r="AA439">
        <f>IFERROR(Z439 / Y439, 0)</f>
        <v>0.44979824238073984</v>
      </c>
      <c r="AB439" t="str">
        <f>TEXT(C439, "mmmm")</f>
        <v>February</v>
      </c>
      <c r="AC439">
        <f>YEAR(C439)</f>
        <v>2024</v>
      </c>
      <c r="AD439" t="str">
        <f>IF(X439&lt;0, "Invalid: Ship Date Before Order Date", IF(W439&lt;0, "Invalid: Negative Discount", IF(W439&gt;0.5, "Invalid: Exceeds Allowed Discount", "OK")))</f>
        <v>OK</v>
      </c>
    </row>
    <row r="440" spans="1:30">
      <c r="A440" t="s">
        <v>2160</v>
      </c>
      <c r="B440" t="str">
        <f t="shared" si="6"/>
        <v>Unique</v>
      </c>
      <c r="C440" s="3">
        <v>45784</v>
      </c>
      <c r="D440" s="3">
        <v>45782</v>
      </c>
      <c r="E440" t="s">
        <v>2162</v>
      </c>
      <c r="F440" t="s">
        <v>93</v>
      </c>
      <c r="G440" t="s">
        <v>108</v>
      </c>
      <c r="H440" t="s">
        <v>42</v>
      </c>
      <c r="I440" t="s">
        <v>311</v>
      </c>
      <c r="J440" t="s">
        <v>312</v>
      </c>
      <c r="K440" t="s">
        <v>86</v>
      </c>
      <c r="L440" t="s">
        <v>223</v>
      </c>
      <c r="M440" t="s">
        <v>2163</v>
      </c>
      <c r="N440" t="s">
        <v>67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34</v>
      </c>
      <c r="V440" t="s">
        <v>35</v>
      </c>
      <c r="W440">
        <f>IF(ISBLANK(Q440), 0, IFERROR(VALUE(Q440), 0.7))</f>
        <v>0.2</v>
      </c>
      <c r="X440">
        <f>D440 - C440</f>
        <v>-2</v>
      </c>
      <c r="Y440">
        <f>O440 * P440 * (1 - W440)</f>
        <v>1813.1759999999999</v>
      </c>
      <c r="Z440">
        <f>Y440 - S440</f>
        <v>449.53599999999983</v>
      </c>
      <c r="AA440">
        <f>IFERROR(Z440 / Y440, 0)</f>
        <v>0.24792739370033567</v>
      </c>
      <c r="AB440" t="str">
        <f>TEXT(C440, "mmmm")</f>
        <v>May</v>
      </c>
      <c r="AC440">
        <f>YEAR(C440)</f>
        <v>2025</v>
      </c>
      <c r="AD440" t="str">
        <f>IF(X440&lt;0, "Invalid: Ship Date Before Order Date", IF(W440&lt;0, "Invalid: Negative Discount", IF(W440&gt;0.5, "Invalid: Exceeds Allowed Discount", "OK")))</f>
        <v>Invalid: Ship Date Before Order Date</v>
      </c>
    </row>
    <row r="441" spans="1:30">
      <c r="A441" t="s">
        <v>2164</v>
      </c>
      <c r="B441" t="str">
        <f t="shared" si="6"/>
        <v>Unique</v>
      </c>
      <c r="C441" s="3">
        <v>45838</v>
      </c>
      <c r="D441" s="3">
        <v>45841</v>
      </c>
      <c r="E441" t="s">
        <v>2167</v>
      </c>
      <c r="F441" t="s">
        <v>162</v>
      </c>
      <c r="G441" t="s">
        <v>115</v>
      </c>
      <c r="H441" t="s">
        <v>73</v>
      </c>
      <c r="I441" t="s">
        <v>249</v>
      </c>
      <c r="J441" t="s">
        <v>250</v>
      </c>
      <c r="K441" t="s">
        <v>30</v>
      </c>
      <c r="L441" t="s">
        <v>156</v>
      </c>
      <c r="M441" t="s">
        <v>2168</v>
      </c>
      <c r="N441" t="s">
        <v>48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124</v>
      </c>
      <c r="V441" t="s">
        <v>125</v>
      </c>
      <c r="W441">
        <f>IF(ISBLANK(Q441), 0, IFERROR(VALUE(Q441), 0.7))</f>
        <v>0</v>
      </c>
      <c r="X441">
        <f>D441 - C441</f>
        <v>3</v>
      </c>
      <c r="Y441">
        <f>O441 * P441 * (1 - W441)</f>
        <v>3326.25</v>
      </c>
      <c r="Z441">
        <f>Y441 - S441</f>
        <v>636.88999999999987</v>
      </c>
      <c r="AA441">
        <f>IFERROR(Z441 / Y441, 0)</f>
        <v>0.19147388199924836</v>
      </c>
      <c r="AB441" t="str">
        <f>TEXT(C441, "mmmm")</f>
        <v>June</v>
      </c>
      <c r="AC441">
        <f>YEAR(C441)</f>
        <v>2025</v>
      </c>
      <c r="AD441" t="str">
        <f>IF(X441&lt;0, "Invalid: Ship Date Before Order Date", IF(W441&lt;0, "Invalid: Negative Discount", IF(W441&gt;0.5, "Invalid: Exceeds Allowed Discount", "OK")))</f>
        <v>OK</v>
      </c>
    </row>
    <row r="442" spans="1:30">
      <c r="A442" t="s">
        <v>2169</v>
      </c>
      <c r="B442" t="str">
        <f t="shared" si="6"/>
        <v>Unique</v>
      </c>
      <c r="C442" s="3">
        <v>45384</v>
      </c>
      <c r="D442" s="3">
        <v>45390</v>
      </c>
      <c r="E442" t="s">
        <v>376</v>
      </c>
      <c r="F442" t="s">
        <v>83</v>
      </c>
      <c r="G442" t="s">
        <v>108</v>
      </c>
      <c r="H442" t="s">
        <v>42</v>
      </c>
      <c r="I442" t="s">
        <v>43</v>
      </c>
      <c r="J442" t="s">
        <v>44</v>
      </c>
      <c r="K442" t="s">
        <v>86</v>
      </c>
      <c r="L442" t="s">
        <v>382</v>
      </c>
      <c r="M442" t="s">
        <v>2172</v>
      </c>
      <c r="N442" t="s">
        <v>33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34</v>
      </c>
      <c r="V442" t="s">
        <v>35</v>
      </c>
      <c r="W442">
        <f>IF(ISBLANK(Q442), 0, IFERROR(VALUE(Q442), 0.7))</f>
        <v>0.2</v>
      </c>
      <c r="X442">
        <f>D442 - C442</f>
        <v>6</v>
      </c>
      <c r="Y442">
        <f>O442 * P442 * (1 - W442)</f>
        <v>17869.632000000001</v>
      </c>
      <c r="Z442">
        <f>Y442 - S442</f>
        <v>5705.8320000000022</v>
      </c>
      <c r="AA442">
        <f>IFERROR(Z442 / Y442, 0)</f>
        <v>0.31930327384469931</v>
      </c>
      <c r="AB442" t="str">
        <f>TEXT(C442, "mmmm")</f>
        <v>April</v>
      </c>
      <c r="AC442">
        <f>YEAR(C442)</f>
        <v>2024</v>
      </c>
      <c r="AD442" t="str">
        <f>IF(X442&lt;0, "Invalid: Ship Date Before Order Date", IF(W442&lt;0, "Invalid: Negative Discount", IF(W442&gt;0.5, "Invalid: Exceeds Allowed Discount", "OK")))</f>
        <v>OK</v>
      </c>
    </row>
    <row r="443" spans="1:30">
      <c r="A443" t="s">
        <v>2173</v>
      </c>
      <c r="B443" t="str">
        <f t="shared" si="6"/>
        <v>Unique</v>
      </c>
      <c r="C443" s="3">
        <v>45361</v>
      </c>
      <c r="D443" s="3">
        <v>45568</v>
      </c>
      <c r="E443" t="s">
        <v>2175</v>
      </c>
      <c r="F443" t="s">
        <v>25</v>
      </c>
      <c r="G443" t="s">
        <v>26</v>
      </c>
      <c r="H443" t="s">
        <v>42</v>
      </c>
      <c r="I443" t="s">
        <v>186</v>
      </c>
      <c r="J443" t="s">
        <v>187</v>
      </c>
      <c r="K443" t="s">
        <v>45</v>
      </c>
      <c r="L443" t="s">
        <v>204</v>
      </c>
      <c r="M443" t="s">
        <v>2176</v>
      </c>
      <c r="N443" t="s">
        <v>67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34</v>
      </c>
      <c r="V443" t="s">
        <v>78</v>
      </c>
      <c r="W443">
        <f>IF(ISBLANK(Q443), 0, IFERROR(VALUE(Q443), 0.7))</f>
        <v>0</v>
      </c>
      <c r="X443">
        <f>D443 - C443</f>
        <v>207</v>
      </c>
      <c r="Y443">
        <f>O443 * P443 * (1 - W443)</f>
        <v>25304.94</v>
      </c>
      <c r="Z443">
        <f>Y443 - S443</f>
        <v>4532.989999999998</v>
      </c>
      <c r="AA443">
        <f>IFERROR(Z443 / Y443, 0)</f>
        <v>0.17913458795002077</v>
      </c>
      <c r="AB443" t="str">
        <f>TEXT(C443, "mmmm")</f>
        <v>March</v>
      </c>
      <c r="AC443">
        <f>YEAR(C443)</f>
        <v>2024</v>
      </c>
      <c r="AD443" t="str">
        <f>IF(X443&lt;0, "Invalid: Ship Date Before Order Date", IF(W443&lt;0, "Invalid: Negative Discount", IF(W443&gt;0.5, "Invalid: Exceeds Allowed Discount", "OK")))</f>
        <v>OK</v>
      </c>
    </row>
    <row r="444" spans="1:30">
      <c r="A444" t="s">
        <v>2177</v>
      </c>
      <c r="B444" t="str">
        <f t="shared" si="6"/>
        <v>Unique</v>
      </c>
      <c r="C444" s="3">
        <v>45669</v>
      </c>
      <c r="D444" s="3">
        <v>45676</v>
      </c>
      <c r="E444" t="s">
        <v>2180</v>
      </c>
      <c r="F444" t="s">
        <v>162</v>
      </c>
      <c r="G444" t="s">
        <v>26</v>
      </c>
      <c r="H444" t="s">
        <v>42</v>
      </c>
      <c r="I444" t="s">
        <v>311</v>
      </c>
      <c r="J444" t="s">
        <v>312</v>
      </c>
      <c r="K444" t="s">
        <v>45</v>
      </c>
      <c r="L444" t="s">
        <v>46</v>
      </c>
      <c r="M444" t="s">
        <v>2181</v>
      </c>
      <c r="N444" t="s">
        <v>56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34</v>
      </c>
      <c r="V444" t="s">
        <v>35</v>
      </c>
      <c r="W444">
        <f>IF(ISBLANK(Q444), 0, IFERROR(VALUE(Q444), 0.7))</f>
        <v>0</v>
      </c>
      <c r="X444">
        <f>D444 - C444</f>
        <v>7</v>
      </c>
      <c r="Y444">
        <f>O444 * P444 * (1 - W444)</f>
        <v>1842.31</v>
      </c>
      <c r="Z444">
        <f>Y444 - S444</f>
        <v>823.14</v>
      </c>
      <c r="AA444">
        <f>IFERROR(Z444 / Y444, 0)</f>
        <v>0.44679777019068451</v>
      </c>
      <c r="AB444" t="str">
        <f>TEXT(C444, "mmmm")</f>
        <v>January</v>
      </c>
      <c r="AC444">
        <f>YEAR(C444)</f>
        <v>2025</v>
      </c>
      <c r="AD444" t="str">
        <f>IF(X444&lt;0, "Invalid: Ship Date Before Order Date", IF(W444&lt;0, "Invalid: Negative Discount", IF(W444&gt;0.5, "Invalid: Exceeds Allowed Discount", "OK")))</f>
        <v>OK</v>
      </c>
    </row>
    <row r="445" spans="1:30">
      <c r="A445" t="s">
        <v>2182</v>
      </c>
      <c r="B445" t="str">
        <f t="shared" si="6"/>
        <v>Unique</v>
      </c>
      <c r="C445" s="3">
        <v>45386</v>
      </c>
      <c r="D445" s="3">
        <v>45389</v>
      </c>
      <c r="E445" t="s">
        <v>2184</v>
      </c>
      <c r="F445" t="s">
        <v>180</v>
      </c>
      <c r="G445" t="s">
        <v>115</v>
      </c>
      <c r="H445" t="s">
        <v>42</v>
      </c>
      <c r="I445" t="s">
        <v>43</v>
      </c>
      <c r="J445" t="s">
        <v>44</v>
      </c>
      <c r="K445" t="s">
        <v>45</v>
      </c>
      <c r="L445" t="s">
        <v>65</v>
      </c>
      <c r="M445" t="s">
        <v>2185</v>
      </c>
      <c r="N445" t="s">
        <v>56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34</v>
      </c>
      <c r="V445" t="s">
        <v>35</v>
      </c>
      <c r="W445">
        <f>IF(ISBLANK(Q445), 0, IFERROR(VALUE(Q445), 0.7))</f>
        <v>0.1</v>
      </c>
      <c r="X445">
        <f>D445 - C445</f>
        <v>3</v>
      </c>
      <c r="Y445">
        <f>O445 * P445 * (1 - W445)</f>
        <v>3315.375</v>
      </c>
      <c r="Z445">
        <f>Y445 - S445</f>
        <v>967.69500000000016</v>
      </c>
      <c r="AA445">
        <f>IFERROR(Z445 / Y445, 0)</f>
        <v>0.29188100893564084</v>
      </c>
      <c r="AB445" t="str">
        <f>TEXT(C445, "mmmm")</f>
        <v>April</v>
      </c>
      <c r="AC445">
        <f>YEAR(C445)</f>
        <v>2024</v>
      </c>
      <c r="AD445" t="str">
        <f>IF(X445&lt;0, "Invalid: Ship Date Before Order Date", IF(W445&lt;0, "Invalid: Negative Discount", IF(W445&gt;0.5, "Invalid: Exceeds Allowed Discount", "OK")))</f>
        <v>OK</v>
      </c>
    </row>
    <row r="446" spans="1:30">
      <c r="A446" t="s">
        <v>2186</v>
      </c>
      <c r="B446" t="str">
        <f t="shared" si="6"/>
        <v>Unique</v>
      </c>
      <c r="C446" s="3">
        <v>45881</v>
      </c>
      <c r="D446" s="3">
        <v>45885</v>
      </c>
      <c r="E446" t="s">
        <v>2188</v>
      </c>
      <c r="F446" t="s">
        <v>72</v>
      </c>
      <c r="G446" t="s">
        <v>26</v>
      </c>
      <c r="H446" t="s">
        <v>42</v>
      </c>
      <c r="I446" t="s">
        <v>216</v>
      </c>
      <c r="J446" t="s">
        <v>217</v>
      </c>
      <c r="K446" t="s">
        <v>86</v>
      </c>
      <c r="L446" t="s">
        <v>87</v>
      </c>
      <c r="M446" t="s">
        <v>2189</v>
      </c>
      <c r="N446" t="s">
        <v>48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34</v>
      </c>
      <c r="V446" t="s">
        <v>35</v>
      </c>
      <c r="W446">
        <f>IF(ISBLANK(Q446), 0, IFERROR(VALUE(Q446), 0.7))</f>
        <v>0.05</v>
      </c>
      <c r="X446">
        <f>D446 - C446</f>
        <v>4</v>
      </c>
      <c r="Y446">
        <f>O446 * P446 * (1 - W446)</f>
        <v>20342.501999999997</v>
      </c>
      <c r="Z446">
        <f>Y446 - S446</f>
        <v>7934.9919999999966</v>
      </c>
      <c r="AA446">
        <f>IFERROR(Z446 / Y446, 0)</f>
        <v>0.39006961877157481</v>
      </c>
      <c r="AB446" t="str">
        <f>TEXT(C446, "mmmm")</f>
        <v>August</v>
      </c>
      <c r="AC446">
        <f>YEAR(C446)</f>
        <v>2025</v>
      </c>
      <c r="AD446" t="str">
        <f>IF(X446&lt;0, "Invalid: Ship Date Before Order Date", IF(W446&lt;0, "Invalid: Negative Discount", IF(W446&gt;0.5, "Invalid: Exceeds Allowed Discount", "OK")))</f>
        <v>OK</v>
      </c>
    </row>
    <row r="447" spans="1:30">
      <c r="A447" t="s">
        <v>2190</v>
      </c>
      <c r="B447" t="str">
        <f t="shared" si="6"/>
        <v>Unique</v>
      </c>
      <c r="C447" s="3">
        <v>45421</v>
      </c>
      <c r="D447" s="3">
        <v>45417</v>
      </c>
      <c r="E447" t="s">
        <v>2193</v>
      </c>
      <c r="F447" t="s">
        <v>61</v>
      </c>
      <c r="G447" t="s">
        <v>26</v>
      </c>
      <c r="H447" t="s">
        <v>42</v>
      </c>
      <c r="I447" t="s">
        <v>216</v>
      </c>
      <c r="J447" t="s">
        <v>217</v>
      </c>
      <c r="K447" t="s">
        <v>45</v>
      </c>
      <c r="L447" t="s">
        <v>204</v>
      </c>
      <c r="M447" t="s">
        <v>2194</v>
      </c>
      <c r="N447" t="s">
        <v>48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34</v>
      </c>
      <c r="V447" t="s">
        <v>35</v>
      </c>
      <c r="W447">
        <f>IF(ISBLANK(Q447), 0, IFERROR(VALUE(Q447), 0.7))</f>
        <v>0.2</v>
      </c>
      <c r="X447">
        <f>D447 - C447</f>
        <v>-4</v>
      </c>
      <c r="Y447">
        <f>O447 * P447 * (1 - W447)</f>
        <v>3377.9680000000003</v>
      </c>
      <c r="Z447">
        <f>Y447 - S447</f>
        <v>881.67800000000034</v>
      </c>
      <c r="AA447">
        <f>IFERROR(Z447 / Y447, 0)</f>
        <v>0.26100839321154029</v>
      </c>
      <c r="AB447" t="str">
        <f>TEXT(C447, "mmmm")</f>
        <v>May</v>
      </c>
      <c r="AC447">
        <f>YEAR(C447)</f>
        <v>2024</v>
      </c>
      <c r="AD447" t="str">
        <f>IF(X447&lt;0, "Invalid: Ship Date Before Order Date", IF(W447&lt;0, "Invalid: Negative Discount", IF(W447&gt;0.5, "Invalid: Exceeds Allowed Discount", "OK")))</f>
        <v>Invalid: Ship Date Before Order Date</v>
      </c>
    </row>
    <row r="448" spans="1:30">
      <c r="A448" t="s">
        <v>2195</v>
      </c>
      <c r="B448" t="str">
        <f t="shared" si="6"/>
        <v>Unique</v>
      </c>
      <c r="C448" s="3">
        <v>45918</v>
      </c>
      <c r="D448" s="3">
        <v>45919</v>
      </c>
      <c r="E448" t="s">
        <v>2198</v>
      </c>
      <c r="F448" t="s">
        <v>168</v>
      </c>
      <c r="G448" t="s">
        <v>115</v>
      </c>
      <c r="H448" t="s">
        <v>62</v>
      </c>
      <c r="I448" t="s">
        <v>100</v>
      </c>
      <c r="J448" t="s">
        <v>101</v>
      </c>
      <c r="K448" t="s">
        <v>30</v>
      </c>
      <c r="L448" t="s">
        <v>156</v>
      </c>
      <c r="M448" t="s">
        <v>2199</v>
      </c>
      <c r="N448" t="s">
        <v>48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34</v>
      </c>
      <c r="V448" t="s">
        <v>35</v>
      </c>
      <c r="W448">
        <f>IF(ISBLANK(Q448), 0, IFERROR(VALUE(Q448), 0.7))</f>
        <v>0</v>
      </c>
      <c r="X448">
        <f>D448 - C448</f>
        <v>1</v>
      </c>
      <c r="Y448">
        <f>O448 * P448 * (1 - W448)</f>
        <v>33940.080000000002</v>
      </c>
      <c r="Z448">
        <f>Y448 - S448</f>
        <v>10185.890000000003</v>
      </c>
      <c r="AA448">
        <f>IFERROR(Z448 / Y448, 0)</f>
        <v>0.30011390662603044</v>
      </c>
      <c r="AB448" t="str">
        <f>TEXT(C448, "mmmm")</f>
        <v>September</v>
      </c>
      <c r="AC448">
        <f>YEAR(C448)</f>
        <v>2025</v>
      </c>
      <c r="AD448" t="str">
        <f>IF(X448&lt;0, "Invalid: Ship Date Before Order Date", IF(W448&lt;0, "Invalid: Negative Discount", IF(W448&gt;0.5, "Invalid: Exceeds Allowed Discount", "OK")))</f>
        <v>OK</v>
      </c>
    </row>
    <row r="449" spans="1:30">
      <c r="A449" t="s">
        <v>2200</v>
      </c>
      <c r="B449" t="str">
        <f t="shared" si="6"/>
        <v>Unique</v>
      </c>
      <c r="C449" s="3">
        <v>45938</v>
      </c>
      <c r="D449" s="3">
        <v>45879</v>
      </c>
      <c r="E449" t="s">
        <v>2202</v>
      </c>
      <c r="F449" t="s">
        <v>180</v>
      </c>
      <c r="G449" t="s">
        <v>115</v>
      </c>
      <c r="H449" t="s">
        <v>62</v>
      </c>
      <c r="I449" t="s">
        <v>63</v>
      </c>
      <c r="J449" t="s">
        <v>64</v>
      </c>
      <c r="K449" t="s">
        <v>45</v>
      </c>
      <c r="L449" t="s">
        <v>204</v>
      </c>
      <c r="M449" t="s">
        <v>2203</v>
      </c>
      <c r="N449" t="s">
        <v>67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137</v>
      </c>
      <c r="V449" t="s">
        <v>125</v>
      </c>
      <c r="W449">
        <f>IF(ISBLANK(Q449), 0, IFERROR(VALUE(Q449), 0.7))</f>
        <v>0.15</v>
      </c>
      <c r="X449">
        <f>D449 - C449</f>
        <v>-59</v>
      </c>
      <c r="Y449">
        <f>O449 * P449 * (1 - W449)</f>
        <v>21872.369999999995</v>
      </c>
      <c r="Z449">
        <f>Y449 - S449</f>
        <v>8042.8699999999953</v>
      </c>
      <c r="AA449">
        <f>IFERROR(Z449 / Y449, 0)</f>
        <v>0.36771826738483288</v>
      </c>
      <c r="AB449" t="str">
        <f>TEXT(C449, "mmmm")</f>
        <v>October</v>
      </c>
      <c r="AC449">
        <f>YEAR(C449)</f>
        <v>2025</v>
      </c>
      <c r="AD449" t="str">
        <f>IF(X449&lt;0, "Invalid: Ship Date Before Order Date", IF(W449&lt;0, "Invalid: Negative Discount", IF(W449&gt;0.5, "Invalid: Exceeds Allowed Discount", "OK")))</f>
        <v>Invalid: Ship Date Before Order Date</v>
      </c>
    </row>
    <row r="450" spans="1:30">
      <c r="A450" t="s">
        <v>2204</v>
      </c>
      <c r="B450" t="str">
        <f t="shared" si="6"/>
        <v>Unique</v>
      </c>
      <c r="C450" s="3">
        <v>45306</v>
      </c>
      <c r="D450" s="3">
        <v>45309</v>
      </c>
      <c r="E450" t="s">
        <v>2206</v>
      </c>
      <c r="F450" t="s">
        <v>40</v>
      </c>
      <c r="G450" t="s">
        <v>41</v>
      </c>
      <c r="H450" t="s">
        <v>62</v>
      </c>
      <c r="I450" t="s">
        <v>100</v>
      </c>
      <c r="J450" t="s">
        <v>101</v>
      </c>
      <c r="K450" t="s">
        <v>45</v>
      </c>
      <c r="L450" t="s">
        <v>76</v>
      </c>
      <c r="M450" t="s">
        <v>2207</v>
      </c>
      <c r="N450" t="s">
        <v>56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34</v>
      </c>
      <c r="V450" t="s">
        <v>35</v>
      </c>
      <c r="W450">
        <f>IF(ISBLANK(Q450), 0, IFERROR(VALUE(Q450), 0.7))</f>
        <v>0.15</v>
      </c>
      <c r="X450">
        <f>D450 - C450</f>
        <v>3</v>
      </c>
      <c r="Y450">
        <f>O450 * P450 * (1 - W450)</f>
        <v>342.05700000000002</v>
      </c>
      <c r="Z450">
        <f>Y450 - S450</f>
        <v>97.487000000000023</v>
      </c>
      <c r="AA450">
        <f>IFERROR(Z450 / Y450, 0)</f>
        <v>0.28500220723446684</v>
      </c>
      <c r="AB450" t="str">
        <f>TEXT(C450, "mmmm")</f>
        <v>January</v>
      </c>
      <c r="AC450">
        <f>YEAR(C450)</f>
        <v>2024</v>
      </c>
      <c r="AD450" t="str">
        <f>IF(X450&lt;0, "Invalid: Ship Date Before Order Date", IF(W450&lt;0, "Invalid: Negative Discount", IF(W450&gt;0.5, "Invalid: Exceeds Allowed Discount", "OK")))</f>
        <v>OK</v>
      </c>
    </row>
    <row r="451" spans="1:30">
      <c r="A451" t="s">
        <v>2208</v>
      </c>
      <c r="B451" t="str">
        <f t="shared" ref="B451:B514" si="7">IF(COUNTIF(A:A, A451)&gt;1, "Review: Duplicate Order ID", "Unique")</f>
        <v>Unique</v>
      </c>
      <c r="C451" s="3">
        <v>45449</v>
      </c>
      <c r="D451" s="3">
        <v>45456</v>
      </c>
      <c r="E451" t="s">
        <v>2043</v>
      </c>
      <c r="F451" t="s">
        <v>107</v>
      </c>
      <c r="G451" t="s">
        <v>108</v>
      </c>
      <c r="H451" t="s">
        <v>42</v>
      </c>
      <c r="I451" t="s">
        <v>216</v>
      </c>
      <c r="J451" t="s">
        <v>217</v>
      </c>
      <c r="K451" t="s">
        <v>86</v>
      </c>
      <c r="L451" t="s">
        <v>382</v>
      </c>
      <c r="M451" t="s">
        <v>2211</v>
      </c>
      <c r="N451" t="s">
        <v>33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34</v>
      </c>
      <c r="V451" t="s">
        <v>35</v>
      </c>
      <c r="W451">
        <f>IF(ISBLANK(Q451), 0, IFERROR(VALUE(Q451), 0.7))</f>
        <v>0</v>
      </c>
      <c r="X451">
        <f>D451 - C451</f>
        <v>7</v>
      </c>
      <c r="Y451">
        <f>O451 * P451 * (1 - W451)</f>
        <v>19622.16</v>
      </c>
      <c r="Z451">
        <f>Y451 - S451</f>
        <v>5350.8899999999994</v>
      </c>
      <c r="AA451">
        <f>IFERROR(Z451 / Y451, 0)</f>
        <v>0.27269627808559299</v>
      </c>
      <c r="AB451" t="str">
        <f>TEXT(C451, "mmmm")</f>
        <v>June</v>
      </c>
      <c r="AC451">
        <f>YEAR(C451)</f>
        <v>2024</v>
      </c>
      <c r="AD451" t="str">
        <f>IF(X451&lt;0, "Invalid: Ship Date Before Order Date", IF(W451&lt;0, "Invalid: Negative Discount", IF(W451&gt;0.5, "Invalid: Exceeds Allowed Discount", "OK")))</f>
        <v>OK</v>
      </c>
    </row>
    <row r="452" spans="1:30">
      <c r="A452" t="s">
        <v>2212</v>
      </c>
      <c r="B452" t="str">
        <f t="shared" si="7"/>
        <v>Unique</v>
      </c>
      <c r="C452" s="3">
        <v>45820</v>
      </c>
      <c r="D452" s="3">
        <v>45827</v>
      </c>
      <c r="E452" t="s">
        <v>2214</v>
      </c>
      <c r="F452" t="s">
        <v>72</v>
      </c>
      <c r="G452" t="s">
        <v>108</v>
      </c>
      <c r="H452" t="s">
        <v>27</v>
      </c>
      <c r="I452" t="s">
        <v>506</v>
      </c>
      <c r="J452" t="s">
        <v>507</v>
      </c>
      <c r="K452" t="s">
        <v>45</v>
      </c>
      <c r="L452" t="s">
        <v>76</v>
      </c>
      <c r="M452" t="s">
        <v>2215</v>
      </c>
      <c r="N452" t="s">
        <v>67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34</v>
      </c>
      <c r="V452" t="s">
        <v>35</v>
      </c>
      <c r="W452">
        <f>IF(ISBLANK(Q452), 0, IFERROR(VALUE(Q452), 0.7))</f>
        <v>0.25</v>
      </c>
      <c r="X452">
        <f>D452 - C452</f>
        <v>7</v>
      </c>
      <c r="Y452">
        <f>O452 * P452 * (1 - W452)</f>
        <v>15380.3475</v>
      </c>
      <c r="Z452">
        <f>Y452 - S452</f>
        <v>5472.9774999999991</v>
      </c>
      <c r="AA452">
        <f>IFERROR(Z452 / Y452, 0)</f>
        <v>0.35584225258889624</v>
      </c>
      <c r="AB452" t="str">
        <f>TEXT(C452, "mmmm")</f>
        <v>June</v>
      </c>
      <c r="AC452">
        <f>YEAR(C452)</f>
        <v>2025</v>
      </c>
      <c r="AD452" t="str">
        <f>IF(X452&lt;0, "Invalid: Ship Date Before Order Date", IF(W452&lt;0, "Invalid: Negative Discount", IF(W452&gt;0.5, "Invalid: Exceeds Allowed Discount", "OK")))</f>
        <v>OK</v>
      </c>
    </row>
    <row r="453" spans="1:30">
      <c r="A453" t="s">
        <v>2216</v>
      </c>
      <c r="B453" t="str">
        <f t="shared" si="7"/>
        <v>Unique</v>
      </c>
      <c r="C453" s="3">
        <v>45375</v>
      </c>
      <c r="D453" s="3">
        <v>45377</v>
      </c>
      <c r="E453" t="s">
        <v>2219</v>
      </c>
      <c r="F453" t="s">
        <v>180</v>
      </c>
      <c r="G453" t="s">
        <v>41</v>
      </c>
      <c r="H453" t="s">
        <v>27</v>
      </c>
      <c r="I453" t="s">
        <v>323</v>
      </c>
      <c r="J453" t="s">
        <v>324</v>
      </c>
      <c r="K453" t="s">
        <v>30</v>
      </c>
      <c r="L453" t="s">
        <v>31</v>
      </c>
      <c r="M453" t="s">
        <v>2220</v>
      </c>
      <c r="N453" t="s">
        <v>33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34</v>
      </c>
      <c r="V453" t="s">
        <v>78</v>
      </c>
      <c r="W453">
        <f>IF(ISBLANK(Q453), 0, IFERROR(VALUE(Q453), 0.7))</f>
        <v>0.15</v>
      </c>
      <c r="X453">
        <f>D453 - C453</f>
        <v>2</v>
      </c>
      <c r="Y453">
        <f>O453 * P453 * (1 - W453)</f>
        <v>13039.952000000001</v>
      </c>
      <c r="Z453">
        <f>Y453 - S453</f>
        <v>1912.1320000000014</v>
      </c>
      <c r="AA453">
        <f>IFERROR(Z453 / Y453, 0)</f>
        <v>0.1466364293365498</v>
      </c>
      <c r="AB453" t="str">
        <f>TEXT(C453, "mmmm")</f>
        <v>March</v>
      </c>
      <c r="AC453">
        <f>YEAR(C453)</f>
        <v>2024</v>
      </c>
      <c r="AD453" t="str">
        <f>IF(X453&lt;0, "Invalid: Ship Date Before Order Date", IF(W453&lt;0, "Invalid: Negative Discount", IF(W453&gt;0.5, "Invalid: Exceeds Allowed Discount", "OK")))</f>
        <v>OK</v>
      </c>
    </row>
    <row r="454" spans="1:30">
      <c r="A454" t="s">
        <v>2221</v>
      </c>
      <c r="B454" t="str">
        <f t="shared" si="7"/>
        <v>Unique</v>
      </c>
      <c r="C454" s="3">
        <v>45570</v>
      </c>
      <c r="D454" s="3">
        <v>45428</v>
      </c>
      <c r="E454" t="s">
        <v>2223</v>
      </c>
      <c r="F454" t="s">
        <v>210</v>
      </c>
      <c r="G454" t="s">
        <v>115</v>
      </c>
      <c r="H454" t="s">
        <v>42</v>
      </c>
      <c r="I454" t="s">
        <v>311</v>
      </c>
      <c r="J454" t="s">
        <v>312</v>
      </c>
      <c r="K454" t="s">
        <v>86</v>
      </c>
      <c r="L454" t="s">
        <v>87</v>
      </c>
      <c r="M454" t="s">
        <v>2224</v>
      </c>
      <c r="N454" t="s">
        <v>33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34</v>
      </c>
      <c r="V454" t="s">
        <v>35</v>
      </c>
      <c r="W454">
        <f>IF(ISBLANK(Q454), 0, IFERROR(VALUE(Q454), 0.7))</f>
        <v>0.2</v>
      </c>
      <c r="X454">
        <f>D454 - C454</f>
        <v>-142</v>
      </c>
      <c r="Y454">
        <f>O454 * P454 * (1 - W454)</f>
        <v>9663.9840000000004</v>
      </c>
      <c r="Z454">
        <f>Y454 - S454</f>
        <v>4035.0540000000001</v>
      </c>
      <c r="AA454">
        <f>IFERROR(Z454 / Y454, 0)</f>
        <v>0.41753525254180884</v>
      </c>
      <c r="AB454" t="str">
        <f>TEXT(C454, "mmmm")</f>
        <v>October</v>
      </c>
      <c r="AC454">
        <f>YEAR(C454)</f>
        <v>2024</v>
      </c>
      <c r="AD454" t="str">
        <f>IF(X454&lt;0, "Invalid: Ship Date Before Order Date", IF(W454&lt;0, "Invalid: Negative Discount", IF(W454&gt;0.5, "Invalid: Exceeds Allowed Discount", "OK")))</f>
        <v>Invalid: Ship Date Before Order Date</v>
      </c>
    </row>
    <row r="455" spans="1:30">
      <c r="A455" t="s">
        <v>2225</v>
      </c>
      <c r="B455" t="str">
        <f t="shared" si="7"/>
        <v>Unique</v>
      </c>
      <c r="C455" s="3">
        <v>45780</v>
      </c>
      <c r="D455" s="3">
        <v>45788</v>
      </c>
      <c r="E455" t="s">
        <v>2228</v>
      </c>
      <c r="F455" t="s">
        <v>180</v>
      </c>
      <c r="G455" t="s">
        <v>41</v>
      </c>
      <c r="H455" t="s">
        <v>73</v>
      </c>
      <c r="I455" t="s">
        <v>84</v>
      </c>
      <c r="J455" t="s">
        <v>85</v>
      </c>
      <c r="K455" t="s">
        <v>30</v>
      </c>
      <c r="L455" t="s">
        <v>109</v>
      </c>
      <c r="M455" t="s">
        <v>2229</v>
      </c>
      <c r="N455" t="s">
        <v>48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34</v>
      </c>
      <c r="V455" t="s">
        <v>35</v>
      </c>
      <c r="W455">
        <f>IF(ISBLANK(Q455), 0, IFERROR(VALUE(Q455), 0.7))</f>
        <v>0</v>
      </c>
      <c r="X455">
        <f>D455 - C455</f>
        <v>8</v>
      </c>
      <c r="Y455">
        <f>O455 * P455 * (1 - W455)</f>
        <v>7417.6</v>
      </c>
      <c r="Z455">
        <f>Y455 - S455</f>
        <v>2461.7400000000007</v>
      </c>
      <c r="AA455">
        <f>IFERROR(Z455 / Y455, 0)</f>
        <v>0.3318782355478862</v>
      </c>
      <c r="AB455" t="str">
        <f>TEXT(C455, "mmmm")</f>
        <v>May</v>
      </c>
      <c r="AC455">
        <f>YEAR(C455)</f>
        <v>2025</v>
      </c>
      <c r="AD455" t="str">
        <f>IF(X455&lt;0, "Invalid: Ship Date Before Order Date", IF(W455&lt;0, "Invalid: Negative Discount", IF(W455&gt;0.5, "Invalid: Exceeds Allowed Discount", "OK")))</f>
        <v>OK</v>
      </c>
    </row>
    <row r="456" spans="1:30">
      <c r="A456" t="s">
        <v>2230</v>
      </c>
      <c r="B456" t="str">
        <f t="shared" si="7"/>
        <v>Unique</v>
      </c>
      <c r="C456" s="3">
        <v>45739</v>
      </c>
      <c r="D456" s="3">
        <v>45744</v>
      </c>
      <c r="E456" t="s">
        <v>2233</v>
      </c>
      <c r="F456" t="s">
        <v>83</v>
      </c>
      <c r="G456" t="s">
        <v>41</v>
      </c>
      <c r="H456" t="s">
        <v>27</v>
      </c>
      <c r="I456" t="s">
        <v>28</v>
      </c>
      <c r="J456" t="s">
        <v>29</v>
      </c>
      <c r="K456" t="s">
        <v>45</v>
      </c>
      <c r="L456" t="s">
        <v>65</v>
      </c>
      <c r="M456" t="s">
        <v>2234</v>
      </c>
      <c r="N456" t="s">
        <v>67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34</v>
      </c>
      <c r="V456" t="s">
        <v>35</v>
      </c>
      <c r="W456">
        <f>IF(ISBLANK(Q456), 0, IFERROR(VALUE(Q456), 0.7))</f>
        <v>0.15</v>
      </c>
      <c r="X456">
        <f>D456 - C456</f>
        <v>5</v>
      </c>
      <c r="Y456">
        <f>O456 * P456 * (1 - W456)</f>
        <v>25229.7</v>
      </c>
      <c r="Z456">
        <f>Y456 - S456</f>
        <v>5059.2700000000004</v>
      </c>
      <c r="AA456">
        <f>IFERROR(Z456 / Y456, 0)</f>
        <v>0.20052834556098567</v>
      </c>
      <c r="AB456" t="str">
        <f>TEXT(C456, "mmmm")</f>
        <v>March</v>
      </c>
      <c r="AC456">
        <f>YEAR(C456)</f>
        <v>2025</v>
      </c>
      <c r="AD456" t="str">
        <f>IF(X456&lt;0, "Invalid: Ship Date Before Order Date", IF(W456&lt;0, "Invalid: Negative Discount", IF(W456&gt;0.5, "Invalid: Exceeds Allowed Discount", "OK")))</f>
        <v>OK</v>
      </c>
    </row>
    <row r="457" spans="1:30">
      <c r="A457" t="s">
        <v>2235</v>
      </c>
      <c r="B457" t="str">
        <f t="shared" si="7"/>
        <v>Unique</v>
      </c>
      <c r="C457" s="3">
        <v>45491</v>
      </c>
      <c r="D457" s="3">
        <v>45495</v>
      </c>
      <c r="E457" t="s">
        <v>2238</v>
      </c>
      <c r="F457" t="s">
        <v>93</v>
      </c>
      <c r="G457" t="s">
        <v>41</v>
      </c>
      <c r="H457" t="s">
        <v>62</v>
      </c>
      <c r="I457" t="s">
        <v>63</v>
      </c>
      <c r="J457" t="s">
        <v>64</v>
      </c>
      <c r="K457" t="s">
        <v>30</v>
      </c>
      <c r="L457" t="s">
        <v>54</v>
      </c>
      <c r="M457" t="s">
        <v>2239</v>
      </c>
      <c r="N457" t="s">
        <v>67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34</v>
      </c>
      <c r="V457" t="s">
        <v>35</v>
      </c>
      <c r="W457">
        <f>IF(ISBLANK(Q457), 0, IFERROR(VALUE(Q457), 0.7))</f>
        <v>0</v>
      </c>
      <c r="X457">
        <f>D457 - C457</f>
        <v>4</v>
      </c>
      <c r="Y457">
        <f>O457 * P457 * (1 - W457)</f>
        <v>3235.08</v>
      </c>
      <c r="Z457">
        <f>Y457 - S457</f>
        <v>1386.48</v>
      </c>
      <c r="AA457">
        <f>IFERROR(Z457 / Y457, 0)</f>
        <v>0.42857672762342819</v>
      </c>
      <c r="AB457" t="str">
        <f>TEXT(C457, "mmmm")</f>
        <v>July</v>
      </c>
      <c r="AC457">
        <f>YEAR(C457)</f>
        <v>2024</v>
      </c>
      <c r="AD457" t="str">
        <f>IF(X457&lt;0, "Invalid: Ship Date Before Order Date", IF(W457&lt;0, "Invalid: Negative Discount", IF(W457&gt;0.5, "Invalid: Exceeds Allowed Discount", "OK")))</f>
        <v>OK</v>
      </c>
    </row>
    <row r="458" spans="1:30">
      <c r="A458" t="s">
        <v>2240</v>
      </c>
      <c r="B458" t="str">
        <f t="shared" si="7"/>
        <v>Unique</v>
      </c>
      <c r="C458" s="3">
        <v>45342</v>
      </c>
      <c r="D458" s="3">
        <v>45342</v>
      </c>
      <c r="E458" t="s">
        <v>2241</v>
      </c>
      <c r="F458" t="s">
        <v>93</v>
      </c>
      <c r="G458" t="s">
        <v>108</v>
      </c>
      <c r="H458" t="s">
        <v>27</v>
      </c>
      <c r="I458" t="s">
        <v>174</v>
      </c>
      <c r="J458" t="s">
        <v>175</v>
      </c>
      <c r="K458" t="s">
        <v>86</v>
      </c>
      <c r="L458" t="s">
        <v>87</v>
      </c>
      <c r="M458" t="s">
        <v>2242</v>
      </c>
      <c r="N458" t="s">
        <v>48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34</v>
      </c>
      <c r="V458" t="s">
        <v>125</v>
      </c>
      <c r="W458">
        <f>IF(ISBLANK(Q458), 0, IFERROR(VALUE(Q458), 0.7))</f>
        <v>0.15</v>
      </c>
      <c r="X458">
        <f>D458 - C458</f>
        <v>0</v>
      </c>
      <c r="Y458">
        <f>O458 * P458 * (1 - W458)</f>
        <v>11070.867499999998</v>
      </c>
      <c r="Z458">
        <f>Y458 - S458</f>
        <v>4447.2574999999988</v>
      </c>
      <c r="AA458">
        <f>IFERROR(Z458 / Y458, 0)</f>
        <v>0.40170813172499803</v>
      </c>
      <c r="AB458" t="str">
        <f>TEXT(C458, "mmmm")</f>
        <v>February</v>
      </c>
      <c r="AC458">
        <f>YEAR(C458)</f>
        <v>2024</v>
      </c>
      <c r="AD458" t="str">
        <f>IF(X458&lt;0, "Invalid: Ship Date Before Order Date", IF(W458&lt;0, "Invalid: Negative Discount", IF(W458&gt;0.5, "Invalid: Exceeds Allowed Discount", "OK")))</f>
        <v>OK</v>
      </c>
    </row>
    <row r="459" spans="1:30">
      <c r="A459" t="s">
        <v>2243</v>
      </c>
      <c r="B459" t="str">
        <f t="shared" si="7"/>
        <v>Unique</v>
      </c>
      <c r="C459" s="3">
        <v>45416</v>
      </c>
      <c r="D459" s="3">
        <v>45416</v>
      </c>
      <c r="E459" t="s">
        <v>2246</v>
      </c>
      <c r="F459" t="s">
        <v>40</v>
      </c>
      <c r="G459" t="s">
        <v>41</v>
      </c>
      <c r="H459" t="s">
        <v>73</v>
      </c>
      <c r="I459" t="s">
        <v>249</v>
      </c>
      <c r="J459" t="s">
        <v>250</v>
      </c>
      <c r="K459" t="s">
        <v>45</v>
      </c>
      <c r="L459" t="s">
        <v>46</v>
      </c>
      <c r="M459" t="s">
        <v>2247</v>
      </c>
      <c r="N459" t="s">
        <v>67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34</v>
      </c>
      <c r="V459" t="s">
        <v>35</v>
      </c>
      <c r="W459">
        <f>IF(ISBLANK(Q459), 0, IFERROR(VALUE(Q459), 0.7))</f>
        <v>0</v>
      </c>
      <c r="X459">
        <f>D459 - C459</f>
        <v>0</v>
      </c>
      <c r="Y459">
        <f>O459 * P459 * (1 - W459)</f>
        <v>19960.57</v>
      </c>
      <c r="Z459">
        <f>Y459 - S459</f>
        <v>3356.9700000000012</v>
      </c>
      <c r="AA459">
        <f>IFERROR(Z459 / Y459, 0)</f>
        <v>0.1681800670020947</v>
      </c>
      <c r="AB459" t="str">
        <f>TEXT(C459, "mmmm")</f>
        <v>May</v>
      </c>
      <c r="AC459">
        <f>YEAR(C459)</f>
        <v>2024</v>
      </c>
      <c r="AD459" t="str">
        <f>IF(X459&lt;0, "Invalid: Ship Date Before Order Date", IF(W459&lt;0, "Invalid: Negative Discount", IF(W459&gt;0.5, "Invalid: Exceeds Allowed Discount", "OK")))</f>
        <v>OK</v>
      </c>
    </row>
    <row r="460" spans="1:30">
      <c r="A460" t="s">
        <v>2248</v>
      </c>
      <c r="B460" t="str">
        <f t="shared" si="7"/>
        <v>Unique</v>
      </c>
      <c r="C460" s="3">
        <v>45332</v>
      </c>
      <c r="D460" s="3">
        <v>45333</v>
      </c>
      <c r="E460" t="s">
        <v>2250</v>
      </c>
      <c r="F460" t="s">
        <v>25</v>
      </c>
      <c r="G460" t="s">
        <v>108</v>
      </c>
      <c r="H460" t="s">
        <v>27</v>
      </c>
      <c r="I460" t="s">
        <v>28</v>
      </c>
      <c r="J460" t="s">
        <v>29</v>
      </c>
      <c r="K460" t="s">
        <v>86</v>
      </c>
      <c r="L460" t="s">
        <v>223</v>
      </c>
      <c r="M460" t="s">
        <v>2251</v>
      </c>
      <c r="N460" t="s">
        <v>33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34</v>
      </c>
      <c r="V460" t="s">
        <v>35</v>
      </c>
      <c r="W460">
        <f>IF(ISBLANK(Q460), 0, IFERROR(VALUE(Q460), 0.7))</f>
        <v>0.1</v>
      </c>
      <c r="X460">
        <f>D460 - C460</f>
        <v>1</v>
      </c>
      <c r="Y460">
        <f>O460 * P460 * (1 - W460)</f>
        <v>8596.0439999999999</v>
      </c>
      <c r="Z460">
        <f>Y460 - S460</f>
        <v>3217.884</v>
      </c>
      <c r="AA460">
        <f>IFERROR(Z460 / Y460, 0)</f>
        <v>0.37434475672762962</v>
      </c>
      <c r="AB460" t="str">
        <f>TEXT(C460, "mmmm")</f>
        <v>February</v>
      </c>
      <c r="AC460">
        <f>YEAR(C460)</f>
        <v>2024</v>
      </c>
      <c r="AD460" t="str">
        <f>IF(X460&lt;0, "Invalid: Ship Date Before Order Date", IF(W460&lt;0, "Invalid: Negative Discount", IF(W460&gt;0.5, "Invalid: Exceeds Allowed Discount", "OK")))</f>
        <v>OK</v>
      </c>
    </row>
    <row r="461" spans="1:30">
      <c r="A461" t="s">
        <v>2252</v>
      </c>
      <c r="B461" t="str">
        <f t="shared" si="7"/>
        <v>Unique</v>
      </c>
      <c r="C461" s="3">
        <v>45379</v>
      </c>
      <c r="D461" s="3">
        <v>45386</v>
      </c>
      <c r="E461" t="s">
        <v>2254</v>
      </c>
      <c r="F461" t="s">
        <v>72</v>
      </c>
      <c r="G461" t="s">
        <v>115</v>
      </c>
      <c r="H461" t="s">
        <v>73</v>
      </c>
      <c r="I461" t="s">
        <v>249</v>
      </c>
      <c r="J461" t="s">
        <v>250</v>
      </c>
      <c r="K461" t="s">
        <v>30</v>
      </c>
      <c r="L461" t="s">
        <v>31</v>
      </c>
      <c r="M461" t="s">
        <v>2255</v>
      </c>
      <c r="N461" t="s">
        <v>56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34</v>
      </c>
      <c r="V461" t="s">
        <v>35</v>
      </c>
      <c r="W461">
        <f>IF(ISBLANK(Q461), 0, IFERROR(VALUE(Q461), 0.7))</f>
        <v>0</v>
      </c>
      <c r="X461">
        <f>D461 - C461</f>
        <v>7</v>
      </c>
      <c r="Y461">
        <f>O461 * P461 * (1 - W461)</f>
        <v>3452.76</v>
      </c>
      <c r="Z461">
        <f>Y461 - S461</f>
        <v>1374.8000000000002</v>
      </c>
      <c r="AA461">
        <f>IFERROR(Z461 / Y461, 0)</f>
        <v>0.39817421425178701</v>
      </c>
      <c r="AB461" t="str">
        <f>TEXT(C461, "mmmm")</f>
        <v>March</v>
      </c>
      <c r="AC461">
        <f>YEAR(C461)</f>
        <v>2024</v>
      </c>
      <c r="AD461" t="str">
        <f>IF(X461&lt;0, "Invalid: Ship Date Before Order Date", IF(W461&lt;0, "Invalid: Negative Discount", IF(W461&gt;0.5, "Invalid: Exceeds Allowed Discount", "OK")))</f>
        <v>OK</v>
      </c>
    </row>
    <row r="462" spans="1:30">
      <c r="A462" t="s">
        <v>2256</v>
      </c>
      <c r="B462" t="str">
        <f t="shared" si="7"/>
        <v>Unique</v>
      </c>
      <c r="C462" s="3">
        <v>45930</v>
      </c>
      <c r="D462" s="3">
        <v>45936</v>
      </c>
      <c r="E462" t="s">
        <v>2259</v>
      </c>
      <c r="F462" t="s">
        <v>162</v>
      </c>
      <c r="G462" t="s">
        <v>108</v>
      </c>
      <c r="H462" t="s">
        <v>4110</v>
      </c>
      <c r="I462" t="s">
        <v>28</v>
      </c>
      <c r="J462" t="s">
        <v>29</v>
      </c>
      <c r="K462" t="s">
        <v>86</v>
      </c>
      <c r="L462" t="s">
        <v>94</v>
      </c>
      <c r="M462" t="s">
        <v>2260</v>
      </c>
      <c r="N462" t="s">
        <v>33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34</v>
      </c>
      <c r="V462" t="s">
        <v>35</v>
      </c>
      <c r="W462">
        <f>IF(ISBLANK(Q462), 0, IFERROR(VALUE(Q462), 0.7))</f>
        <v>0.05</v>
      </c>
      <c r="X462">
        <f>D462 - C462</f>
        <v>6</v>
      </c>
      <c r="Y462">
        <f>O462 * P462 * (1 - W462)</f>
        <v>11626.974000000002</v>
      </c>
      <c r="Z462">
        <f>Y462 - S462</f>
        <v>4232.9040000000023</v>
      </c>
      <c r="AA462">
        <f>IFERROR(Z462 / Y462, 0)</f>
        <v>0.36405895463428417</v>
      </c>
      <c r="AB462" t="str">
        <f>TEXT(C462, "mmmm")</f>
        <v>September</v>
      </c>
      <c r="AC462">
        <f>YEAR(C462)</f>
        <v>2025</v>
      </c>
      <c r="AD462" t="str">
        <f>IF(X462&lt;0, "Invalid: Ship Date Before Order Date", IF(W462&lt;0, "Invalid: Negative Discount", IF(W462&gt;0.5, "Invalid: Exceeds Allowed Discount", "OK")))</f>
        <v>OK</v>
      </c>
    </row>
    <row r="463" spans="1:30">
      <c r="A463" t="s">
        <v>2261</v>
      </c>
      <c r="B463" t="str">
        <f t="shared" si="7"/>
        <v>Unique</v>
      </c>
      <c r="C463" s="3">
        <v>45802</v>
      </c>
      <c r="D463" s="3">
        <v>45803</v>
      </c>
      <c r="E463" t="s">
        <v>2263</v>
      </c>
      <c r="F463" t="s">
        <v>93</v>
      </c>
      <c r="G463" t="s">
        <v>108</v>
      </c>
      <c r="H463" t="s">
        <v>62</v>
      </c>
      <c r="I463" t="s">
        <v>100</v>
      </c>
      <c r="J463" t="s">
        <v>101</v>
      </c>
      <c r="K463" t="s">
        <v>30</v>
      </c>
      <c r="L463" t="s">
        <v>31</v>
      </c>
      <c r="M463" t="s">
        <v>2264</v>
      </c>
      <c r="N463" t="s">
        <v>67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34</v>
      </c>
      <c r="V463" t="s">
        <v>35</v>
      </c>
      <c r="W463">
        <f>IF(ISBLANK(Q463), 0, IFERROR(VALUE(Q463), 0.7))</f>
        <v>0.15</v>
      </c>
      <c r="X463">
        <f>D463 - C463</f>
        <v>1</v>
      </c>
      <c r="Y463">
        <f>O463 * P463 * (1 - W463)</f>
        <v>8614.2825000000012</v>
      </c>
      <c r="Z463">
        <f>Y463 - S463</f>
        <v>1562.2025000000012</v>
      </c>
      <c r="AA463">
        <f>IFERROR(Z463 / Y463, 0)</f>
        <v>0.18135027496486225</v>
      </c>
      <c r="AB463" t="str">
        <f>TEXT(C463, "mmmm")</f>
        <v>May</v>
      </c>
      <c r="AC463">
        <f>YEAR(C463)</f>
        <v>2025</v>
      </c>
      <c r="AD463" t="str">
        <f>IF(X463&lt;0, "Invalid: Ship Date Before Order Date", IF(W463&lt;0, "Invalid: Negative Discount", IF(W463&gt;0.5, "Invalid: Exceeds Allowed Discount", "OK")))</f>
        <v>OK</v>
      </c>
    </row>
    <row r="464" spans="1:30">
      <c r="A464" t="s">
        <v>2265</v>
      </c>
      <c r="B464" t="str">
        <f t="shared" si="7"/>
        <v>Unique</v>
      </c>
      <c r="C464" s="3">
        <v>45558</v>
      </c>
      <c r="D464" s="3">
        <v>45560</v>
      </c>
      <c r="E464" t="s">
        <v>2267</v>
      </c>
      <c r="F464" t="s">
        <v>162</v>
      </c>
      <c r="G464" t="s">
        <v>115</v>
      </c>
      <c r="H464" t="s">
        <v>27</v>
      </c>
      <c r="I464" t="s">
        <v>506</v>
      </c>
      <c r="J464" t="s">
        <v>507</v>
      </c>
      <c r="K464" t="s">
        <v>30</v>
      </c>
      <c r="L464" t="s">
        <v>198</v>
      </c>
      <c r="M464" t="s">
        <v>2268</v>
      </c>
      <c r="N464" t="s">
        <v>56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34</v>
      </c>
      <c r="V464" t="s">
        <v>35</v>
      </c>
      <c r="W464">
        <f>IF(ISBLANK(Q464), 0, IFERROR(VALUE(Q464), 0.7))</f>
        <v>0.2</v>
      </c>
      <c r="X464">
        <f>D464 - C464</f>
        <v>2</v>
      </c>
      <c r="Y464">
        <f>O464 * P464 * (1 - W464)</f>
        <v>2040.2240000000002</v>
      </c>
      <c r="Z464">
        <f>Y464 - S464</f>
        <v>644.51400000000012</v>
      </c>
      <c r="AA464">
        <f>IFERROR(Z464 / Y464, 0)</f>
        <v>0.31590354784572677</v>
      </c>
      <c r="AB464" t="str">
        <f>TEXT(C464, "mmmm")</f>
        <v>September</v>
      </c>
      <c r="AC464">
        <f>YEAR(C464)</f>
        <v>2024</v>
      </c>
      <c r="AD464" t="str">
        <f>IF(X464&lt;0, "Invalid: Ship Date Before Order Date", IF(W464&lt;0, "Invalid: Negative Discount", IF(W464&gt;0.5, "Invalid: Exceeds Allowed Discount", "OK")))</f>
        <v>OK</v>
      </c>
    </row>
    <row r="465" spans="1:30">
      <c r="A465" t="s">
        <v>2269</v>
      </c>
      <c r="B465" t="str">
        <f t="shared" si="7"/>
        <v>Unique</v>
      </c>
      <c r="C465" s="3">
        <v>45840</v>
      </c>
      <c r="D465" s="3">
        <v>45696</v>
      </c>
      <c r="E465" t="s">
        <v>2271</v>
      </c>
      <c r="F465" t="s">
        <v>61</v>
      </c>
      <c r="G465" t="s">
        <v>108</v>
      </c>
      <c r="H465" t="s">
        <v>73</v>
      </c>
      <c r="I465" t="s">
        <v>84</v>
      </c>
      <c r="J465" t="s">
        <v>85</v>
      </c>
      <c r="K465" t="s">
        <v>86</v>
      </c>
      <c r="L465" t="s">
        <v>223</v>
      </c>
      <c r="M465" t="s">
        <v>2272</v>
      </c>
      <c r="N465" t="s">
        <v>67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34</v>
      </c>
      <c r="V465" t="s">
        <v>35</v>
      </c>
      <c r="W465">
        <f>IF(ISBLANK(Q465), 0, IFERROR(VALUE(Q465), 0.7))</f>
        <v>0.2</v>
      </c>
      <c r="X465">
        <f>D465 - C465</f>
        <v>-144</v>
      </c>
      <c r="Y465">
        <f>O465 * P465 * (1 - W465)</f>
        <v>2846.4</v>
      </c>
      <c r="Z465">
        <f>Y465 - S465</f>
        <v>714.0300000000002</v>
      </c>
      <c r="AA465">
        <f>IFERROR(Z465 / Y465, 0)</f>
        <v>0.25085370994940986</v>
      </c>
      <c r="AB465" t="str">
        <f>TEXT(C465, "mmmm")</f>
        <v>July</v>
      </c>
      <c r="AC465">
        <f>YEAR(C465)</f>
        <v>2025</v>
      </c>
      <c r="AD465" t="str">
        <f>IF(X465&lt;0, "Invalid: Ship Date Before Order Date", IF(W465&lt;0, "Invalid: Negative Discount", IF(W465&gt;0.5, "Invalid: Exceeds Allowed Discount", "OK")))</f>
        <v>Invalid: Ship Date Before Order Date</v>
      </c>
    </row>
    <row r="466" spans="1:30">
      <c r="A466" t="s">
        <v>2273</v>
      </c>
      <c r="B466" t="str">
        <f t="shared" si="7"/>
        <v>Unique</v>
      </c>
      <c r="C466" s="3">
        <v>45964</v>
      </c>
      <c r="D466" s="3">
        <v>45731</v>
      </c>
      <c r="E466" t="s">
        <v>2276</v>
      </c>
      <c r="F466" t="s">
        <v>61</v>
      </c>
      <c r="G466" t="s">
        <v>108</v>
      </c>
      <c r="H466" t="s">
        <v>42</v>
      </c>
      <c r="I466" t="s">
        <v>186</v>
      </c>
      <c r="J466" t="s">
        <v>187</v>
      </c>
      <c r="K466" t="s">
        <v>30</v>
      </c>
      <c r="L466" t="s">
        <v>31</v>
      </c>
      <c r="M466" t="s">
        <v>2277</v>
      </c>
      <c r="N466" t="s">
        <v>48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137</v>
      </c>
      <c r="V466" t="s">
        <v>78</v>
      </c>
      <c r="W466">
        <f>IF(ISBLANK(Q466), 0, IFERROR(VALUE(Q466), 0.7))</f>
        <v>0.05</v>
      </c>
      <c r="X466">
        <f>D466 - C466</f>
        <v>-233</v>
      </c>
      <c r="Y466">
        <f>O466 * P466 * (1 - W466)</f>
        <v>10331.477999999999</v>
      </c>
      <c r="Z466">
        <f>Y466 - S466</f>
        <v>3199.5679999999993</v>
      </c>
      <c r="AA466">
        <f>IFERROR(Z466 / Y466, 0)</f>
        <v>0.30969121746181905</v>
      </c>
      <c r="AB466" t="str">
        <f>TEXT(C466, "mmmm")</f>
        <v>November</v>
      </c>
      <c r="AC466">
        <f>YEAR(C466)</f>
        <v>2025</v>
      </c>
      <c r="AD466" t="str">
        <f>IF(X466&lt;0, "Invalid: Ship Date Before Order Date", IF(W466&lt;0, "Invalid: Negative Discount", IF(W466&gt;0.5, "Invalid: Exceeds Allowed Discount", "OK")))</f>
        <v>Invalid: Ship Date Before Order Date</v>
      </c>
    </row>
    <row r="467" spans="1:30">
      <c r="A467" t="s">
        <v>2278</v>
      </c>
      <c r="B467" t="str">
        <f t="shared" si="7"/>
        <v>Unique</v>
      </c>
      <c r="C467" s="3">
        <v>45320</v>
      </c>
      <c r="D467" s="3">
        <v>45328</v>
      </c>
      <c r="E467" t="s">
        <v>2281</v>
      </c>
      <c r="F467" t="s">
        <v>162</v>
      </c>
      <c r="G467" t="s">
        <v>41</v>
      </c>
      <c r="H467" t="s">
        <v>73</v>
      </c>
      <c r="I467" t="s">
        <v>84</v>
      </c>
      <c r="J467" t="s">
        <v>85</v>
      </c>
      <c r="K467" t="s">
        <v>30</v>
      </c>
      <c r="L467" t="s">
        <v>109</v>
      </c>
      <c r="M467" t="s">
        <v>2282</v>
      </c>
      <c r="N467" t="s">
        <v>67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34</v>
      </c>
      <c r="V467" t="s">
        <v>35</v>
      </c>
      <c r="W467">
        <f>IF(ISBLANK(Q467), 0, IFERROR(VALUE(Q467), 0.7))</f>
        <v>0</v>
      </c>
      <c r="X467">
        <f>D467 - C467</f>
        <v>8</v>
      </c>
      <c r="Y467">
        <f>O467 * P467 * (1 - W467)</f>
        <v>2517.8000000000002</v>
      </c>
      <c r="Z467">
        <f>Y467 - S467</f>
        <v>1039.2600000000002</v>
      </c>
      <c r="AA467">
        <f>IFERROR(Z467 / Y467, 0)</f>
        <v>0.41276511239971408</v>
      </c>
      <c r="AB467" t="str">
        <f>TEXT(C467, "mmmm")</f>
        <v>January</v>
      </c>
      <c r="AC467">
        <f>YEAR(C467)</f>
        <v>2024</v>
      </c>
      <c r="AD467" t="str">
        <f>IF(X467&lt;0, "Invalid: Ship Date Before Order Date", IF(W467&lt;0, "Invalid: Negative Discount", IF(W467&gt;0.5, "Invalid: Exceeds Allowed Discount", "OK")))</f>
        <v>OK</v>
      </c>
    </row>
    <row r="468" spans="1:30">
      <c r="A468" t="s">
        <v>2283</v>
      </c>
      <c r="B468" t="str">
        <f t="shared" si="7"/>
        <v>Unique</v>
      </c>
      <c r="C468" s="3">
        <v>45383</v>
      </c>
      <c r="D468" s="3">
        <v>45299</v>
      </c>
      <c r="E468" t="s">
        <v>2286</v>
      </c>
      <c r="F468" t="s">
        <v>40</v>
      </c>
      <c r="G468" t="s">
        <v>41</v>
      </c>
      <c r="H468" t="s">
        <v>42</v>
      </c>
      <c r="I468" t="s">
        <v>186</v>
      </c>
      <c r="J468" t="s">
        <v>187</v>
      </c>
      <c r="K468" t="s">
        <v>86</v>
      </c>
      <c r="L468" t="s">
        <v>87</v>
      </c>
      <c r="M468" t="s">
        <v>2287</v>
      </c>
      <c r="N468" t="s">
        <v>48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34</v>
      </c>
      <c r="V468" t="s">
        <v>35</v>
      </c>
      <c r="W468">
        <f>IF(ISBLANK(Q468), 0, IFERROR(VALUE(Q468), 0.7))</f>
        <v>0.2</v>
      </c>
      <c r="X468">
        <f>D468 - C468</f>
        <v>-84</v>
      </c>
      <c r="Y468">
        <f>O468 * P468 * (1 - W468)</f>
        <v>11462.112000000001</v>
      </c>
      <c r="Z468">
        <f>Y468 - S468</f>
        <v>4356.6320000000014</v>
      </c>
      <c r="AA468">
        <f>IFERROR(Z468 / Y468, 0)</f>
        <v>0.38008981241851425</v>
      </c>
      <c r="AB468" t="str">
        <f>TEXT(C468, "mmmm")</f>
        <v>April</v>
      </c>
      <c r="AC468">
        <f>YEAR(C468)</f>
        <v>2024</v>
      </c>
      <c r="AD468" t="str">
        <f>IF(X468&lt;0, "Invalid: Ship Date Before Order Date", IF(W468&lt;0, "Invalid: Negative Discount", IF(W468&gt;0.5, "Invalid: Exceeds Allowed Discount", "OK")))</f>
        <v>Invalid: Ship Date Before Order Date</v>
      </c>
    </row>
    <row r="469" spans="1:30">
      <c r="A469" t="s">
        <v>2288</v>
      </c>
      <c r="B469" t="str">
        <f t="shared" si="7"/>
        <v>Unique</v>
      </c>
      <c r="C469" s="3">
        <v>45524</v>
      </c>
      <c r="D469" s="3">
        <v>45525</v>
      </c>
      <c r="E469" t="s">
        <v>2290</v>
      </c>
      <c r="F469" t="s">
        <v>107</v>
      </c>
      <c r="G469" t="s">
        <v>108</v>
      </c>
      <c r="H469" t="s">
        <v>42</v>
      </c>
      <c r="I469" t="s">
        <v>43</v>
      </c>
      <c r="J469" t="s">
        <v>44</v>
      </c>
      <c r="K469" t="s">
        <v>86</v>
      </c>
      <c r="L469" t="s">
        <v>94</v>
      </c>
      <c r="M469" t="s">
        <v>2291</v>
      </c>
      <c r="N469" t="s">
        <v>56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124</v>
      </c>
      <c r="V469" t="s">
        <v>78</v>
      </c>
      <c r="W469">
        <f>IF(ISBLANK(Q469), 0, IFERROR(VALUE(Q469), 0.7))</f>
        <v>0.1</v>
      </c>
      <c r="X469">
        <f>D469 - C469</f>
        <v>1</v>
      </c>
      <c r="Y469">
        <f>O469 * P469 * (1 - W469)</f>
        <v>19297.485000000001</v>
      </c>
      <c r="Z469">
        <f>Y469 - S469</f>
        <v>3845.8250000000007</v>
      </c>
      <c r="AA469">
        <f>IFERROR(Z469 / Y469, 0)</f>
        <v>0.1992915138941681</v>
      </c>
      <c r="AB469" t="str">
        <f>TEXT(C469, "mmmm")</f>
        <v>August</v>
      </c>
      <c r="AC469">
        <f>YEAR(C469)</f>
        <v>2024</v>
      </c>
      <c r="AD469" t="str">
        <f>IF(X469&lt;0, "Invalid: Ship Date Before Order Date", IF(W469&lt;0, "Invalid: Negative Discount", IF(W469&gt;0.5, "Invalid: Exceeds Allowed Discount", "OK")))</f>
        <v>OK</v>
      </c>
    </row>
    <row r="470" spans="1:30">
      <c r="A470" t="s">
        <v>2292</v>
      </c>
      <c r="B470" t="str">
        <f t="shared" si="7"/>
        <v>Unique</v>
      </c>
      <c r="C470" s="3">
        <v>45666</v>
      </c>
      <c r="D470" s="3">
        <v>45664</v>
      </c>
      <c r="E470" t="s">
        <v>2295</v>
      </c>
      <c r="F470" t="s">
        <v>162</v>
      </c>
      <c r="G470" t="s">
        <v>115</v>
      </c>
      <c r="H470" t="s">
        <v>42</v>
      </c>
      <c r="I470" t="s">
        <v>121</v>
      </c>
      <c r="J470" t="s">
        <v>122</v>
      </c>
      <c r="K470" t="s">
        <v>30</v>
      </c>
      <c r="L470" t="s">
        <v>198</v>
      </c>
      <c r="M470" t="s">
        <v>2296</v>
      </c>
      <c r="N470" t="s">
        <v>33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34</v>
      </c>
      <c r="V470" t="s">
        <v>35</v>
      </c>
      <c r="W470">
        <f>IF(ISBLANK(Q470), 0, IFERROR(VALUE(Q470), 0.7))</f>
        <v>0</v>
      </c>
      <c r="X470">
        <f>D470 - C470</f>
        <v>-2</v>
      </c>
      <c r="Y470">
        <f>O470 * P470 * (1 - W470)</f>
        <v>6564.99</v>
      </c>
      <c r="Z470">
        <f>Y470 - S470</f>
        <v>1157.75</v>
      </c>
      <c r="AA470">
        <f>IFERROR(Z470 / Y470, 0)</f>
        <v>0.17635213458055535</v>
      </c>
      <c r="AB470" t="str">
        <f>TEXT(C470, "mmmm")</f>
        <v>January</v>
      </c>
      <c r="AC470">
        <f>YEAR(C470)</f>
        <v>2025</v>
      </c>
      <c r="AD470" t="str">
        <f>IF(X470&lt;0, "Invalid: Ship Date Before Order Date", IF(W470&lt;0, "Invalid: Negative Discount", IF(W470&gt;0.5, "Invalid: Exceeds Allowed Discount", "OK")))</f>
        <v>Invalid: Ship Date Before Order Date</v>
      </c>
    </row>
    <row r="471" spans="1:30">
      <c r="A471" t="s">
        <v>2297</v>
      </c>
      <c r="B471" t="str">
        <f t="shared" si="7"/>
        <v>Unique</v>
      </c>
      <c r="C471" s="3">
        <v>45310</v>
      </c>
      <c r="D471" s="3">
        <v>45316</v>
      </c>
      <c r="E471" t="s">
        <v>2299</v>
      </c>
      <c r="F471" t="s">
        <v>107</v>
      </c>
      <c r="G471" t="s">
        <v>108</v>
      </c>
      <c r="H471" t="s">
        <v>73</v>
      </c>
      <c r="I471" t="s">
        <v>249</v>
      </c>
      <c r="J471" t="s">
        <v>250</v>
      </c>
      <c r="K471" t="s">
        <v>86</v>
      </c>
      <c r="L471" t="s">
        <v>94</v>
      </c>
      <c r="M471" t="s">
        <v>2300</v>
      </c>
      <c r="N471" t="s">
        <v>56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34</v>
      </c>
      <c r="V471" t="s">
        <v>35</v>
      </c>
      <c r="W471">
        <f>IF(ISBLANK(Q471), 0, IFERROR(VALUE(Q471), 0.7))</f>
        <v>0.1</v>
      </c>
      <c r="X471">
        <f>D471 - C471</f>
        <v>6</v>
      </c>
      <c r="Y471">
        <f>O471 * P471 * (1 - W471)</f>
        <v>2812.4820000000004</v>
      </c>
      <c r="Z471">
        <f>Y471 - S471</f>
        <v>530.36200000000053</v>
      </c>
      <c r="AA471">
        <f>IFERROR(Z471 / Y471, 0)</f>
        <v>0.18857436243147527</v>
      </c>
      <c r="AB471" t="str">
        <f>TEXT(C471, "mmmm")</f>
        <v>January</v>
      </c>
      <c r="AC471">
        <f>YEAR(C471)</f>
        <v>2024</v>
      </c>
      <c r="AD471" t="str">
        <f>IF(X471&lt;0, "Invalid: Ship Date Before Order Date", IF(W471&lt;0, "Invalid: Negative Discount", IF(W471&gt;0.5, "Invalid: Exceeds Allowed Discount", "OK")))</f>
        <v>OK</v>
      </c>
    </row>
    <row r="472" spans="1:30">
      <c r="A472" t="s">
        <v>2301</v>
      </c>
      <c r="B472" t="str">
        <f t="shared" si="7"/>
        <v>Unique</v>
      </c>
      <c r="C472" s="3">
        <v>45501</v>
      </c>
      <c r="D472" s="3">
        <v>45504</v>
      </c>
      <c r="E472" t="s">
        <v>2303</v>
      </c>
      <c r="F472" t="s">
        <v>107</v>
      </c>
      <c r="G472" t="s">
        <v>26</v>
      </c>
      <c r="H472" t="s">
        <v>27</v>
      </c>
      <c r="I472" t="s">
        <v>28</v>
      </c>
      <c r="J472" t="s">
        <v>29</v>
      </c>
      <c r="K472" t="s">
        <v>45</v>
      </c>
      <c r="L472" t="s">
        <v>46</v>
      </c>
      <c r="M472" t="s">
        <v>2304</v>
      </c>
      <c r="N472" t="s">
        <v>48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34</v>
      </c>
      <c r="V472" t="s">
        <v>35</v>
      </c>
      <c r="W472">
        <f>IF(ISBLANK(Q472), 0, IFERROR(VALUE(Q472), 0.7))</f>
        <v>0.2</v>
      </c>
      <c r="X472">
        <f>D472 - C472</f>
        <v>3</v>
      </c>
      <c r="Y472">
        <f>O472 * P472 * (1 - W472)</f>
        <v>7079.6480000000001</v>
      </c>
      <c r="Z472">
        <f>Y472 - S472</f>
        <v>2613.7380000000003</v>
      </c>
      <c r="AA472">
        <f>IFERROR(Z472 / Y472, 0)</f>
        <v>0.36919038912669105</v>
      </c>
      <c r="AB472" t="str">
        <f>TEXT(C472, "mmmm")</f>
        <v>July</v>
      </c>
      <c r="AC472">
        <f>YEAR(C472)</f>
        <v>2024</v>
      </c>
      <c r="AD472" t="str">
        <f>IF(X472&lt;0, "Invalid: Ship Date Before Order Date", IF(W472&lt;0, "Invalid: Negative Discount", IF(W472&gt;0.5, "Invalid: Exceeds Allowed Discount", "OK")))</f>
        <v>OK</v>
      </c>
    </row>
    <row r="473" spans="1:30">
      <c r="A473" t="s">
        <v>2305</v>
      </c>
      <c r="B473" t="str">
        <f t="shared" si="7"/>
        <v>Unique</v>
      </c>
      <c r="C473" s="3">
        <v>45598</v>
      </c>
      <c r="D473" s="3">
        <v>45337</v>
      </c>
      <c r="E473" t="s">
        <v>2308</v>
      </c>
      <c r="F473" t="s">
        <v>366</v>
      </c>
      <c r="G473" t="s">
        <v>26</v>
      </c>
      <c r="H473" t="s">
        <v>62</v>
      </c>
      <c r="I473" t="s">
        <v>63</v>
      </c>
      <c r="J473" t="s">
        <v>64</v>
      </c>
      <c r="K473" t="s">
        <v>30</v>
      </c>
      <c r="L473" t="s">
        <v>198</v>
      </c>
      <c r="M473" t="s">
        <v>2309</v>
      </c>
      <c r="N473" t="s">
        <v>67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34</v>
      </c>
      <c r="V473" t="s">
        <v>35</v>
      </c>
      <c r="W473">
        <f>IF(ISBLANK(Q473), 0, IFERROR(VALUE(Q473), 0.7))</f>
        <v>0.25</v>
      </c>
      <c r="X473">
        <f>D473 - C473</f>
        <v>-261</v>
      </c>
      <c r="Y473">
        <f>O473 * P473 * (1 - W473)</f>
        <v>6793.0650000000005</v>
      </c>
      <c r="Z473">
        <f>Y473 - S473</f>
        <v>1807.8450000000003</v>
      </c>
      <c r="AA473">
        <f>IFERROR(Z473 / Y473, 0)</f>
        <v>0.26613097327936652</v>
      </c>
      <c r="AB473" t="str">
        <f>TEXT(C473, "mmmm")</f>
        <v>November</v>
      </c>
      <c r="AC473">
        <f>YEAR(C473)</f>
        <v>2024</v>
      </c>
      <c r="AD473" t="str">
        <f>IF(X473&lt;0, "Invalid: Ship Date Before Order Date", IF(W473&lt;0, "Invalid: Negative Discount", IF(W473&gt;0.5, "Invalid: Exceeds Allowed Discount", "OK")))</f>
        <v>Invalid: Ship Date Before Order Date</v>
      </c>
    </row>
    <row r="474" spans="1:30">
      <c r="A474" t="s">
        <v>2310</v>
      </c>
      <c r="B474" t="str">
        <f t="shared" si="7"/>
        <v>Unique</v>
      </c>
      <c r="C474" s="3">
        <v>45325</v>
      </c>
      <c r="D474" s="3">
        <v>45358</v>
      </c>
      <c r="E474" t="s">
        <v>2312</v>
      </c>
      <c r="F474" t="s">
        <v>180</v>
      </c>
      <c r="G474" t="s">
        <v>108</v>
      </c>
      <c r="H474" t="s">
        <v>42</v>
      </c>
      <c r="I474" t="s">
        <v>43</v>
      </c>
      <c r="J474" t="s">
        <v>44</v>
      </c>
      <c r="K474" t="s">
        <v>30</v>
      </c>
      <c r="L474" t="s">
        <v>156</v>
      </c>
      <c r="M474" t="s">
        <v>2313</v>
      </c>
      <c r="N474" t="s">
        <v>67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34</v>
      </c>
      <c r="V474" t="s">
        <v>35</v>
      </c>
      <c r="W474">
        <f>IF(ISBLANK(Q474), 0, IFERROR(VALUE(Q474), 0.7))</f>
        <v>0</v>
      </c>
      <c r="X474">
        <f>D474 - C474</f>
        <v>33</v>
      </c>
      <c r="Y474">
        <f>O474 * P474 * (1 - W474)</f>
        <v>1844.2199999999998</v>
      </c>
      <c r="Z474">
        <f>Y474 - S474</f>
        <v>750.00999999999976</v>
      </c>
      <c r="AA474">
        <f>IFERROR(Z474 / Y474, 0)</f>
        <v>0.40668141544934977</v>
      </c>
      <c r="AB474" t="str">
        <f>TEXT(C474, "mmmm")</f>
        <v>February</v>
      </c>
      <c r="AC474">
        <f>YEAR(C474)</f>
        <v>2024</v>
      </c>
      <c r="AD474" t="str">
        <f>IF(X474&lt;0, "Invalid: Ship Date Before Order Date", IF(W474&lt;0, "Invalid: Negative Discount", IF(W474&gt;0.5, "Invalid: Exceeds Allowed Discount", "OK")))</f>
        <v>OK</v>
      </c>
    </row>
    <row r="475" spans="1:30">
      <c r="A475" t="s">
        <v>2314</v>
      </c>
      <c r="B475" t="str">
        <f t="shared" si="7"/>
        <v>Unique</v>
      </c>
      <c r="C475" s="3">
        <v>45609</v>
      </c>
      <c r="D475" s="3">
        <v>45609</v>
      </c>
      <c r="E475" t="s">
        <v>2316</v>
      </c>
      <c r="F475" t="s">
        <v>142</v>
      </c>
      <c r="G475" t="s">
        <v>26</v>
      </c>
      <c r="H475" t="s">
        <v>73</v>
      </c>
      <c r="I475" t="s">
        <v>249</v>
      </c>
      <c r="J475" t="s">
        <v>250</v>
      </c>
      <c r="K475" t="s">
        <v>86</v>
      </c>
      <c r="L475" t="s">
        <v>94</v>
      </c>
      <c r="M475" t="s">
        <v>2317</v>
      </c>
      <c r="N475" t="s">
        <v>67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34</v>
      </c>
      <c r="V475" t="s">
        <v>35</v>
      </c>
      <c r="W475">
        <f>IF(ISBLANK(Q475), 0, IFERROR(VALUE(Q475), 0.7))</f>
        <v>0.2</v>
      </c>
      <c r="X475">
        <f>D475 - C475</f>
        <v>0</v>
      </c>
      <c r="Y475">
        <f>O475 * P475 * (1 - W475)</f>
        <v>918.95999999999992</v>
      </c>
      <c r="Z475">
        <f>Y475 - S475</f>
        <v>364.78</v>
      </c>
      <c r="AA475">
        <f>IFERROR(Z475 / Y475, 0)</f>
        <v>0.39694872464525116</v>
      </c>
      <c r="AB475" t="str">
        <f>TEXT(C475, "mmmm")</f>
        <v>November</v>
      </c>
      <c r="AC475">
        <f>YEAR(C475)</f>
        <v>2024</v>
      </c>
      <c r="AD475" t="str">
        <f>IF(X475&lt;0, "Invalid: Ship Date Before Order Date", IF(W475&lt;0, "Invalid: Negative Discount", IF(W475&gt;0.5, "Invalid: Exceeds Allowed Discount", "OK")))</f>
        <v>OK</v>
      </c>
    </row>
    <row r="476" spans="1:30">
      <c r="A476" t="s">
        <v>2318</v>
      </c>
      <c r="B476" t="str">
        <f t="shared" si="7"/>
        <v>Unique</v>
      </c>
      <c r="C476" s="3">
        <v>45357</v>
      </c>
      <c r="D476" s="3">
        <v>45453</v>
      </c>
      <c r="E476" t="s">
        <v>2320</v>
      </c>
      <c r="F476" t="s">
        <v>210</v>
      </c>
      <c r="G476" t="s">
        <v>108</v>
      </c>
      <c r="H476" t="s">
        <v>27</v>
      </c>
      <c r="I476" t="s">
        <v>154</v>
      </c>
      <c r="J476" t="s">
        <v>155</v>
      </c>
      <c r="K476" t="s">
        <v>45</v>
      </c>
      <c r="L476" t="s">
        <v>65</v>
      </c>
      <c r="M476" t="s">
        <v>2321</v>
      </c>
      <c r="N476" t="s">
        <v>67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34</v>
      </c>
      <c r="V476" t="s">
        <v>35</v>
      </c>
      <c r="W476">
        <f>IF(ISBLANK(Q476), 0, IFERROR(VALUE(Q476), 0.7))</f>
        <v>0</v>
      </c>
      <c r="X476">
        <f>D476 - C476</f>
        <v>96</v>
      </c>
      <c r="Y476">
        <f>O476 * P476 * (1 - W476)</f>
        <v>4900.71</v>
      </c>
      <c r="Z476">
        <f>Y476 - S476</f>
        <v>2186.81</v>
      </c>
      <c r="AA476">
        <f>IFERROR(Z476 / Y476, 0)</f>
        <v>0.44622309828575857</v>
      </c>
      <c r="AB476" t="str">
        <f>TEXT(C476, "mmmm")</f>
        <v>March</v>
      </c>
      <c r="AC476">
        <f>YEAR(C476)</f>
        <v>2024</v>
      </c>
      <c r="AD476" t="str">
        <f>IF(X476&lt;0, "Invalid: Ship Date Before Order Date", IF(W476&lt;0, "Invalid: Negative Discount", IF(W476&gt;0.5, "Invalid: Exceeds Allowed Discount", "OK")))</f>
        <v>OK</v>
      </c>
    </row>
    <row r="477" spans="1:30">
      <c r="A477" t="s">
        <v>2322</v>
      </c>
      <c r="B477" t="str">
        <f t="shared" si="7"/>
        <v>Unique</v>
      </c>
      <c r="C477" s="3">
        <v>45717</v>
      </c>
      <c r="D477" s="3">
        <v>45724</v>
      </c>
      <c r="E477" t="s">
        <v>2325</v>
      </c>
      <c r="F477" t="s">
        <v>83</v>
      </c>
      <c r="G477" t="s">
        <v>26</v>
      </c>
      <c r="H477" t="s">
        <v>42</v>
      </c>
      <c r="I477" t="s">
        <v>121</v>
      </c>
      <c r="J477" t="s">
        <v>122</v>
      </c>
      <c r="K477" t="s">
        <v>45</v>
      </c>
      <c r="L477" t="s">
        <v>76</v>
      </c>
      <c r="M477" t="s">
        <v>2326</v>
      </c>
      <c r="N477" t="s">
        <v>48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137</v>
      </c>
      <c r="V477" t="s">
        <v>125</v>
      </c>
      <c r="W477">
        <f>IF(ISBLANK(Q477), 0, IFERROR(VALUE(Q477), 0.7))</f>
        <v>0.25</v>
      </c>
      <c r="X477">
        <f>D477 - C477</f>
        <v>7</v>
      </c>
      <c r="Y477">
        <f>O477 * P477 * (1 - W477)</f>
        <v>20272.920000000002</v>
      </c>
      <c r="Z477">
        <f>Y477 - S477</f>
        <v>4399.5400000000027</v>
      </c>
      <c r="AA477">
        <f>IFERROR(Z477 / Y477, 0)</f>
        <v>0.21701560505344086</v>
      </c>
      <c r="AB477" t="str">
        <f>TEXT(C477, "mmmm")</f>
        <v>March</v>
      </c>
      <c r="AC477">
        <f>YEAR(C477)</f>
        <v>2025</v>
      </c>
      <c r="AD477" t="str">
        <f>IF(X477&lt;0, "Invalid: Ship Date Before Order Date", IF(W477&lt;0, "Invalid: Negative Discount", IF(W477&gt;0.5, "Invalid: Exceeds Allowed Discount", "OK")))</f>
        <v>OK</v>
      </c>
    </row>
    <row r="478" spans="1:30">
      <c r="A478" t="s">
        <v>2327</v>
      </c>
      <c r="B478" t="str">
        <f t="shared" si="7"/>
        <v>Unique</v>
      </c>
      <c r="C478" s="3">
        <v>45419</v>
      </c>
      <c r="D478" s="3">
        <v>45426</v>
      </c>
      <c r="E478" t="s">
        <v>2330</v>
      </c>
      <c r="F478" t="s">
        <v>168</v>
      </c>
      <c r="G478" t="s">
        <v>41</v>
      </c>
      <c r="H478" t="s">
        <v>27</v>
      </c>
      <c r="I478" t="s">
        <v>28</v>
      </c>
      <c r="J478" t="s">
        <v>29</v>
      </c>
      <c r="K478" t="s">
        <v>30</v>
      </c>
      <c r="L478" t="s">
        <v>156</v>
      </c>
      <c r="M478" t="s">
        <v>2331</v>
      </c>
      <c r="N478" t="s">
        <v>56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34</v>
      </c>
      <c r="V478" t="s">
        <v>35</v>
      </c>
      <c r="W478">
        <f>IF(ISBLANK(Q478), 0, IFERROR(VALUE(Q478), 0.7))</f>
        <v>0.1</v>
      </c>
      <c r="X478">
        <f>D478 - C478</f>
        <v>7</v>
      </c>
      <c r="Y478">
        <f>O478 * P478 * (1 - W478)</f>
        <v>1035.6659999999999</v>
      </c>
      <c r="Z478">
        <f>Y478 - S478</f>
        <v>440.24599999999998</v>
      </c>
      <c r="AA478">
        <f>IFERROR(Z478 / Y478, 0)</f>
        <v>0.42508492120046426</v>
      </c>
      <c r="AB478" t="str">
        <f>TEXT(C478, "mmmm")</f>
        <v>May</v>
      </c>
      <c r="AC478">
        <f>YEAR(C478)</f>
        <v>2024</v>
      </c>
      <c r="AD478" t="str">
        <f>IF(X478&lt;0, "Invalid: Ship Date Before Order Date", IF(W478&lt;0, "Invalid: Negative Discount", IF(W478&gt;0.5, "Invalid: Exceeds Allowed Discount", "OK")))</f>
        <v>OK</v>
      </c>
    </row>
    <row r="479" spans="1:30">
      <c r="A479" t="s">
        <v>2332</v>
      </c>
      <c r="B479" t="str">
        <f t="shared" si="7"/>
        <v>Unique</v>
      </c>
      <c r="C479" s="3">
        <v>45892</v>
      </c>
      <c r="D479" s="3">
        <v>45897</v>
      </c>
      <c r="E479" t="s">
        <v>2335</v>
      </c>
      <c r="F479" t="s">
        <v>83</v>
      </c>
      <c r="G479" t="s">
        <v>108</v>
      </c>
      <c r="H479" t="s">
        <v>73</v>
      </c>
      <c r="I479" t="s">
        <v>235</v>
      </c>
      <c r="J479" t="s">
        <v>236</v>
      </c>
      <c r="K479" t="s">
        <v>45</v>
      </c>
      <c r="L479" t="s">
        <v>76</v>
      </c>
      <c r="M479" t="s">
        <v>2336</v>
      </c>
      <c r="N479" t="s">
        <v>67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34</v>
      </c>
      <c r="V479" t="s">
        <v>78</v>
      </c>
      <c r="W479">
        <f>IF(ISBLANK(Q479), 0, IFERROR(VALUE(Q479), 0.7))</f>
        <v>0.1</v>
      </c>
      <c r="X479">
        <f>D479 - C479</f>
        <v>5</v>
      </c>
      <c r="Y479">
        <f>O479 * P479 * (1 - W479)</f>
        <v>11843.442000000001</v>
      </c>
      <c r="Z479">
        <f>Y479 - S479</f>
        <v>2486.5620000000017</v>
      </c>
      <c r="AA479">
        <f>IFERROR(Z479 / Y479, 0)</f>
        <v>0.20995264721184953</v>
      </c>
      <c r="AB479" t="str">
        <f>TEXT(C479, "mmmm")</f>
        <v>August</v>
      </c>
      <c r="AC479">
        <f>YEAR(C479)</f>
        <v>2025</v>
      </c>
      <c r="AD479" t="str">
        <f>IF(X479&lt;0, "Invalid: Ship Date Before Order Date", IF(W479&lt;0, "Invalid: Negative Discount", IF(W479&gt;0.5, "Invalid: Exceeds Allowed Discount", "OK")))</f>
        <v>OK</v>
      </c>
    </row>
    <row r="480" spans="1:30">
      <c r="A480" t="s">
        <v>2337</v>
      </c>
      <c r="B480" t="str">
        <f t="shared" si="7"/>
        <v>Unique</v>
      </c>
      <c r="C480" s="3">
        <v>45452</v>
      </c>
      <c r="D480" s="3">
        <v>45456</v>
      </c>
      <c r="E480" t="s">
        <v>2340</v>
      </c>
      <c r="F480" t="s">
        <v>40</v>
      </c>
      <c r="G480" t="s">
        <v>115</v>
      </c>
      <c r="H480" t="s">
        <v>4110</v>
      </c>
      <c r="I480" t="s">
        <v>174</v>
      </c>
      <c r="J480" t="s">
        <v>175</v>
      </c>
      <c r="K480" t="s">
        <v>86</v>
      </c>
      <c r="L480" t="s">
        <v>382</v>
      </c>
      <c r="M480" t="s">
        <v>2341</v>
      </c>
      <c r="N480" t="s">
        <v>48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124</v>
      </c>
      <c r="V480" t="s">
        <v>125</v>
      </c>
      <c r="W480">
        <f>IF(ISBLANK(Q480), 0, IFERROR(VALUE(Q480), 0.7))</f>
        <v>0.1</v>
      </c>
      <c r="X480">
        <f>D480 - C480</f>
        <v>4</v>
      </c>
      <c r="Y480">
        <f>O480 * P480 * (1 - W480)</f>
        <v>25702.173000000003</v>
      </c>
      <c r="Z480">
        <f>Y480 - S480</f>
        <v>11130.693000000003</v>
      </c>
      <c r="AA480">
        <f>IFERROR(Z480 / Y480, 0)</f>
        <v>0.43306427826160854</v>
      </c>
      <c r="AB480" t="str">
        <f>TEXT(C480, "mmmm")</f>
        <v>June</v>
      </c>
      <c r="AC480">
        <f>YEAR(C480)</f>
        <v>2024</v>
      </c>
      <c r="AD480" t="str">
        <f>IF(X480&lt;0, "Invalid: Ship Date Before Order Date", IF(W480&lt;0, "Invalid: Negative Discount", IF(W480&gt;0.5, "Invalid: Exceeds Allowed Discount", "OK")))</f>
        <v>OK</v>
      </c>
    </row>
    <row r="481" spans="1:30">
      <c r="A481" t="s">
        <v>2342</v>
      </c>
      <c r="B481" t="str">
        <f t="shared" si="7"/>
        <v>Unique</v>
      </c>
      <c r="C481" s="3">
        <v>45345</v>
      </c>
      <c r="D481" s="3">
        <v>45342</v>
      </c>
      <c r="E481" t="s">
        <v>2344</v>
      </c>
      <c r="F481" t="s">
        <v>61</v>
      </c>
      <c r="G481" t="s">
        <v>108</v>
      </c>
      <c r="H481" t="s">
        <v>42</v>
      </c>
      <c r="I481" t="s">
        <v>43</v>
      </c>
      <c r="J481" t="s">
        <v>44</v>
      </c>
      <c r="K481" t="s">
        <v>45</v>
      </c>
      <c r="L481" t="s">
        <v>76</v>
      </c>
      <c r="M481" t="s">
        <v>2345</v>
      </c>
      <c r="N481" t="s">
        <v>33</v>
      </c>
      <c r="O481">
        <v>1</v>
      </c>
      <c r="P481">
        <v>2202.5500000000002</v>
      </c>
      <c r="R481">
        <v>1651.91</v>
      </c>
      <c r="S481">
        <v>1034.57</v>
      </c>
      <c r="T481">
        <v>617.34</v>
      </c>
      <c r="U481" t="s">
        <v>34</v>
      </c>
      <c r="V481" t="s">
        <v>35</v>
      </c>
      <c r="W481">
        <f>IF(ISBLANK(Q481), 0, IFERROR(VALUE(Q481), 0.7))</f>
        <v>0</v>
      </c>
      <c r="X481">
        <f>D481 - C481</f>
        <v>-3</v>
      </c>
      <c r="Y481">
        <f>O481 * P481 * (1 - W481)</f>
        <v>2202.5500000000002</v>
      </c>
      <c r="Z481">
        <f>Y481 - S481</f>
        <v>1167.9800000000002</v>
      </c>
      <c r="AA481">
        <f>IFERROR(Z481 / Y481, 0)</f>
        <v>0.53028535107035035</v>
      </c>
      <c r="AB481" t="str">
        <f>TEXT(C481, "mmmm")</f>
        <v>February</v>
      </c>
      <c r="AC481">
        <f>YEAR(C481)</f>
        <v>2024</v>
      </c>
      <c r="AD481" t="str">
        <f>IF(X481&lt;0, "Invalid: Ship Date Before Order Date", IF(W481&lt;0, "Invalid: Negative Discount", IF(W481&gt;0.5, "Invalid: Exceeds Allowed Discount", "OK")))</f>
        <v>Invalid: Ship Date Before Order Date</v>
      </c>
    </row>
    <row r="482" spans="1:30">
      <c r="A482" t="s">
        <v>2346</v>
      </c>
      <c r="B482" t="str">
        <f t="shared" si="7"/>
        <v>Unique</v>
      </c>
      <c r="C482" s="3">
        <v>45662</v>
      </c>
      <c r="D482" s="3">
        <v>45666</v>
      </c>
      <c r="E482" t="s">
        <v>2347</v>
      </c>
      <c r="F482" t="s">
        <v>93</v>
      </c>
      <c r="G482" t="s">
        <v>41</v>
      </c>
      <c r="H482" t="s">
        <v>62</v>
      </c>
      <c r="I482" t="s">
        <v>339</v>
      </c>
      <c r="J482" t="s">
        <v>340</v>
      </c>
      <c r="K482" t="s">
        <v>30</v>
      </c>
      <c r="L482" t="s">
        <v>156</v>
      </c>
      <c r="M482" t="s">
        <v>2348</v>
      </c>
      <c r="N482" t="s">
        <v>4110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34</v>
      </c>
      <c r="V482" t="s">
        <v>35</v>
      </c>
      <c r="W482">
        <f>IF(ISBLANK(Q482), 0, IFERROR(VALUE(Q482), 0.7))</f>
        <v>0</v>
      </c>
      <c r="X482">
        <f>D482 - C482</f>
        <v>4</v>
      </c>
      <c r="Y482">
        <f>O482 * P482 * (1 - W482)</f>
        <v>4525.8</v>
      </c>
      <c r="Z482">
        <f>Y482 - S482</f>
        <v>1811.29</v>
      </c>
      <c r="AA482">
        <f>IFERROR(Z482 / Y482, 0)</f>
        <v>0.40021432674886204</v>
      </c>
      <c r="AB482" t="str">
        <f>TEXT(C482, "mmmm")</f>
        <v>January</v>
      </c>
      <c r="AC482">
        <f>YEAR(C482)</f>
        <v>2025</v>
      </c>
      <c r="AD482" t="str">
        <f>IF(X482&lt;0, "Invalid: Ship Date Before Order Date", IF(W482&lt;0, "Invalid: Negative Discount", IF(W482&gt;0.5, "Invalid: Exceeds Allowed Discount", "OK")))</f>
        <v>OK</v>
      </c>
    </row>
    <row r="483" spans="1:30">
      <c r="A483" t="s">
        <v>2349</v>
      </c>
      <c r="B483" t="str">
        <f t="shared" si="7"/>
        <v>Unique</v>
      </c>
      <c r="C483" s="3">
        <v>45813</v>
      </c>
      <c r="D483" s="3">
        <v>45821</v>
      </c>
      <c r="E483" t="s">
        <v>2352</v>
      </c>
      <c r="F483" t="s">
        <v>53</v>
      </c>
      <c r="G483" t="s">
        <v>26</v>
      </c>
      <c r="H483" t="s">
        <v>27</v>
      </c>
      <c r="I483" t="s">
        <v>174</v>
      </c>
      <c r="J483" t="s">
        <v>175</v>
      </c>
      <c r="K483" t="s">
        <v>86</v>
      </c>
      <c r="L483" t="s">
        <v>382</v>
      </c>
      <c r="M483" t="s">
        <v>2353</v>
      </c>
      <c r="N483" t="s">
        <v>48</v>
      </c>
      <c r="O483">
        <v>4</v>
      </c>
      <c r="P483">
        <v>2793.88</v>
      </c>
      <c r="Q483" t="s">
        <v>1170</v>
      </c>
      <c r="R483">
        <v>10616.74</v>
      </c>
      <c r="S483">
        <v>6353.59</v>
      </c>
      <c r="T483">
        <v>4263.1499999999996</v>
      </c>
      <c r="U483" t="s">
        <v>34</v>
      </c>
      <c r="V483" t="s">
        <v>35</v>
      </c>
      <c r="W483">
        <f>IF(ISBLANK(Q483), 0, IFERROR(VALUE(Q483), 0.7))</f>
        <v>0.85</v>
      </c>
      <c r="X483">
        <f>D483 - C483</f>
        <v>8</v>
      </c>
      <c r="Y483">
        <f>O483 * P483 * (1 - W483)</f>
        <v>1676.3280000000002</v>
      </c>
      <c r="Z483">
        <f>Y483 - S483</f>
        <v>-4677.2619999999997</v>
      </c>
      <c r="AA483">
        <f>IFERROR(Z483 / Y483, 0)</f>
        <v>-2.7901830667983827</v>
      </c>
      <c r="AB483" t="str">
        <f>TEXT(C483, "mmmm")</f>
        <v>June</v>
      </c>
      <c r="AC483">
        <f>YEAR(C483)</f>
        <v>2025</v>
      </c>
      <c r="AD483" t="str">
        <f>IF(X483&lt;0, "Invalid: Ship Date Before Order Date", IF(W483&lt;0, "Invalid: Negative Discount", IF(W483&gt;0.5, "Invalid: Exceeds Allowed Discount", "OK")))</f>
        <v>Invalid: Exceeds Allowed Discount</v>
      </c>
    </row>
    <row r="484" spans="1:30">
      <c r="A484" t="s">
        <v>2354</v>
      </c>
      <c r="B484" t="str">
        <f t="shared" si="7"/>
        <v>Unique</v>
      </c>
      <c r="C484" s="3">
        <v>45495</v>
      </c>
      <c r="D484" s="3">
        <v>45495</v>
      </c>
      <c r="E484" t="s">
        <v>2355</v>
      </c>
      <c r="F484" t="s">
        <v>142</v>
      </c>
      <c r="G484" t="s">
        <v>26</v>
      </c>
      <c r="H484" t="s">
        <v>62</v>
      </c>
      <c r="I484" t="s">
        <v>229</v>
      </c>
      <c r="J484" t="s">
        <v>230</v>
      </c>
      <c r="K484" t="s">
        <v>86</v>
      </c>
      <c r="L484" t="s">
        <v>87</v>
      </c>
      <c r="M484" t="s">
        <v>2356</v>
      </c>
      <c r="N484" t="s">
        <v>33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34</v>
      </c>
      <c r="V484" t="s">
        <v>35</v>
      </c>
      <c r="W484">
        <f>IF(ISBLANK(Q484), 0, IFERROR(VALUE(Q484), 0.7))</f>
        <v>0.25</v>
      </c>
      <c r="X484">
        <f>D484 - C484</f>
        <v>0</v>
      </c>
      <c r="Y484">
        <f>O484 * P484 * (1 - W484)</f>
        <v>2893.9949999999999</v>
      </c>
      <c r="Z484">
        <f>Y484 - S484</f>
        <v>1037.9649999999999</v>
      </c>
      <c r="AA484">
        <f>IFERROR(Z484 / Y484, 0)</f>
        <v>0.35866164247001114</v>
      </c>
      <c r="AB484" t="str">
        <f>TEXT(C484, "mmmm")</f>
        <v>July</v>
      </c>
      <c r="AC484">
        <f>YEAR(C484)</f>
        <v>2024</v>
      </c>
      <c r="AD484" t="str">
        <f>IF(X484&lt;0, "Invalid: Ship Date Before Order Date", IF(W484&lt;0, "Invalid: Negative Discount", IF(W484&gt;0.5, "Invalid: Exceeds Allowed Discount", "OK")))</f>
        <v>OK</v>
      </c>
    </row>
    <row r="485" spans="1:30">
      <c r="A485" t="s">
        <v>2357</v>
      </c>
      <c r="B485" t="str">
        <f t="shared" si="7"/>
        <v>Unique</v>
      </c>
      <c r="C485" s="3">
        <v>45651</v>
      </c>
      <c r="D485" s="3">
        <v>45651</v>
      </c>
      <c r="E485" t="s">
        <v>2359</v>
      </c>
      <c r="F485" t="s">
        <v>40</v>
      </c>
      <c r="G485" t="s">
        <v>108</v>
      </c>
      <c r="H485" t="s">
        <v>42</v>
      </c>
      <c r="I485" t="s">
        <v>186</v>
      </c>
      <c r="J485" t="s">
        <v>187</v>
      </c>
      <c r="K485" t="s">
        <v>86</v>
      </c>
      <c r="L485" t="s">
        <v>94</v>
      </c>
      <c r="M485" t="s">
        <v>2360</v>
      </c>
      <c r="N485" t="s">
        <v>67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34</v>
      </c>
      <c r="V485" t="s">
        <v>35</v>
      </c>
      <c r="W485">
        <f>IF(ISBLANK(Q485), 0, IFERROR(VALUE(Q485), 0.7))</f>
        <v>0.15</v>
      </c>
      <c r="X485">
        <f>D485 - C485</f>
        <v>0</v>
      </c>
      <c r="Y485">
        <f>O485 * P485 * (1 - W485)</f>
        <v>705.2109999999999</v>
      </c>
      <c r="Z485">
        <f>Y485 - S485</f>
        <v>266.89099999999991</v>
      </c>
      <c r="AA485">
        <f>IFERROR(Z485 / Y485, 0)</f>
        <v>0.37845552607659261</v>
      </c>
      <c r="AB485" t="str">
        <f>TEXT(C485, "mmmm")</f>
        <v>December</v>
      </c>
      <c r="AC485">
        <f>YEAR(C485)</f>
        <v>2024</v>
      </c>
      <c r="AD485" t="str">
        <f>IF(X485&lt;0, "Invalid: Ship Date Before Order Date", IF(W485&lt;0, "Invalid: Negative Discount", IF(W485&gt;0.5, "Invalid: Exceeds Allowed Discount", "OK")))</f>
        <v>OK</v>
      </c>
    </row>
    <row r="486" spans="1:30">
      <c r="A486" t="s">
        <v>2361</v>
      </c>
      <c r="B486" t="str">
        <f t="shared" si="7"/>
        <v>Unique</v>
      </c>
      <c r="C486" s="3">
        <v>45654</v>
      </c>
      <c r="D486" s="3">
        <v>45657</v>
      </c>
      <c r="E486" t="s">
        <v>2364</v>
      </c>
      <c r="F486" t="s">
        <v>40</v>
      </c>
      <c r="G486" t="s">
        <v>41</v>
      </c>
      <c r="H486" t="s">
        <v>62</v>
      </c>
      <c r="I486" t="s">
        <v>100</v>
      </c>
      <c r="J486" t="s">
        <v>101</v>
      </c>
      <c r="K486" t="s">
        <v>45</v>
      </c>
      <c r="L486" t="s">
        <v>65</v>
      </c>
      <c r="M486" t="s">
        <v>2365</v>
      </c>
      <c r="N486" t="s">
        <v>56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34</v>
      </c>
      <c r="V486" t="s">
        <v>35</v>
      </c>
      <c r="W486">
        <f>IF(ISBLANK(Q486), 0, IFERROR(VALUE(Q486), 0.7))</f>
        <v>0.25</v>
      </c>
      <c r="X486">
        <f>D486 - C486</f>
        <v>3</v>
      </c>
      <c r="Y486">
        <f>O486 * P486 * (1 - W486)</f>
        <v>16385.489999999998</v>
      </c>
      <c r="Z486">
        <f>Y486 - S486</f>
        <v>2706.2499999999982</v>
      </c>
      <c r="AA486">
        <f>IFERROR(Z486 / Y486, 0)</f>
        <v>0.16516137143289572</v>
      </c>
      <c r="AB486" t="str">
        <f>TEXT(C486, "mmmm")</f>
        <v>December</v>
      </c>
      <c r="AC486">
        <f>YEAR(C486)</f>
        <v>2024</v>
      </c>
      <c r="AD486" t="str">
        <f>IF(X486&lt;0, "Invalid: Ship Date Before Order Date", IF(W486&lt;0, "Invalid: Negative Discount", IF(W486&gt;0.5, "Invalid: Exceeds Allowed Discount", "OK")))</f>
        <v>OK</v>
      </c>
    </row>
    <row r="487" spans="1:30">
      <c r="A487" t="s">
        <v>2366</v>
      </c>
      <c r="B487" t="str">
        <f t="shared" si="7"/>
        <v>Unique</v>
      </c>
      <c r="C487" s="3">
        <v>45679</v>
      </c>
      <c r="D487" s="3">
        <v>45680</v>
      </c>
      <c r="E487" t="s">
        <v>2367</v>
      </c>
      <c r="F487" t="s">
        <v>148</v>
      </c>
      <c r="G487" t="s">
        <v>108</v>
      </c>
      <c r="H487" t="s">
        <v>73</v>
      </c>
      <c r="I487" t="s">
        <v>249</v>
      </c>
      <c r="J487" t="s">
        <v>250</v>
      </c>
      <c r="K487" t="s">
        <v>45</v>
      </c>
      <c r="L487" t="s">
        <v>204</v>
      </c>
      <c r="M487" t="s">
        <v>2368</v>
      </c>
      <c r="N487" t="s">
        <v>67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34</v>
      </c>
      <c r="V487" t="s">
        <v>35</v>
      </c>
      <c r="W487">
        <f>IF(ISBLANK(Q487), 0, IFERROR(VALUE(Q487), 0.7))</f>
        <v>0.25</v>
      </c>
      <c r="X487">
        <f>D487 - C487</f>
        <v>1</v>
      </c>
      <c r="Y487">
        <f>O487 * P487 * (1 - W487)</f>
        <v>7665.57</v>
      </c>
      <c r="Z487">
        <f>Y487 - S487</f>
        <v>2069.9699999999993</v>
      </c>
      <c r="AA487">
        <f>IFERROR(Z487 / Y487, 0)</f>
        <v>0.27003471366121495</v>
      </c>
      <c r="AB487" t="str">
        <f>TEXT(C487, "mmmm")</f>
        <v>January</v>
      </c>
      <c r="AC487">
        <f>YEAR(C487)</f>
        <v>2025</v>
      </c>
      <c r="AD487" t="str">
        <f>IF(X487&lt;0, "Invalid: Ship Date Before Order Date", IF(W487&lt;0, "Invalid: Negative Discount", IF(W487&gt;0.5, "Invalid: Exceeds Allowed Discount", "OK")))</f>
        <v>OK</v>
      </c>
    </row>
    <row r="488" spans="1:30">
      <c r="A488" t="s">
        <v>2369</v>
      </c>
      <c r="B488" t="str">
        <f t="shared" si="7"/>
        <v>Unique</v>
      </c>
      <c r="C488" s="3">
        <v>45830</v>
      </c>
      <c r="D488" s="3">
        <v>45834</v>
      </c>
      <c r="E488" t="s">
        <v>2372</v>
      </c>
      <c r="F488" t="s">
        <v>148</v>
      </c>
      <c r="G488" t="s">
        <v>108</v>
      </c>
      <c r="H488" t="s">
        <v>73</v>
      </c>
      <c r="I488" t="s">
        <v>249</v>
      </c>
      <c r="J488" t="s">
        <v>250</v>
      </c>
      <c r="K488" t="s">
        <v>45</v>
      </c>
      <c r="L488" t="s">
        <v>46</v>
      </c>
      <c r="M488" t="s">
        <v>2373</v>
      </c>
      <c r="N488" t="s">
        <v>67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34</v>
      </c>
      <c r="V488" t="s">
        <v>35</v>
      </c>
      <c r="W488">
        <f>IF(ISBLANK(Q488), 0, IFERROR(VALUE(Q488), 0.7))</f>
        <v>0.2</v>
      </c>
      <c r="X488">
        <f>D488 - C488</f>
        <v>4</v>
      </c>
      <c r="Y488">
        <f>O488 * P488 * (1 - W488)</f>
        <v>4670.8320000000003</v>
      </c>
      <c r="Z488">
        <f>Y488 - S488</f>
        <v>1504.3420000000006</v>
      </c>
      <c r="AA488">
        <f>IFERROR(Z488 / Y488, 0)</f>
        <v>0.3220715281560117</v>
      </c>
      <c r="AB488" t="str">
        <f>TEXT(C488, "mmmm")</f>
        <v>June</v>
      </c>
      <c r="AC488">
        <f>YEAR(C488)</f>
        <v>2025</v>
      </c>
      <c r="AD488" t="str">
        <f>IF(X488&lt;0, "Invalid: Ship Date Before Order Date", IF(W488&lt;0, "Invalid: Negative Discount", IF(W488&gt;0.5, "Invalid: Exceeds Allowed Discount", "OK")))</f>
        <v>OK</v>
      </c>
    </row>
    <row r="489" spans="1:30">
      <c r="A489" t="s">
        <v>2374</v>
      </c>
      <c r="B489" t="str">
        <f t="shared" si="7"/>
        <v>Unique</v>
      </c>
      <c r="C489" s="3">
        <v>45818</v>
      </c>
      <c r="D489" s="3">
        <v>45825</v>
      </c>
      <c r="E489" t="s">
        <v>2376</v>
      </c>
      <c r="F489" t="s">
        <v>148</v>
      </c>
      <c r="G489" t="s">
        <v>108</v>
      </c>
      <c r="H489" t="s">
        <v>62</v>
      </c>
      <c r="I489" t="s">
        <v>63</v>
      </c>
      <c r="J489" t="s">
        <v>64</v>
      </c>
      <c r="K489" t="s">
        <v>45</v>
      </c>
      <c r="L489" t="s">
        <v>65</v>
      </c>
      <c r="M489" t="s">
        <v>2377</v>
      </c>
      <c r="N489" t="s">
        <v>67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124</v>
      </c>
      <c r="V489" t="s">
        <v>125</v>
      </c>
      <c r="W489">
        <f>IF(ISBLANK(Q489), 0, IFERROR(VALUE(Q489), 0.7))</f>
        <v>0</v>
      </c>
      <c r="X489">
        <f>D489 - C489</f>
        <v>7</v>
      </c>
      <c r="Y489">
        <f>O489 * P489 * (1 - W489)</f>
        <v>6155.5</v>
      </c>
      <c r="Z489">
        <f>Y489 - S489</f>
        <v>1873.4099999999999</v>
      </c>
      <c r="AA489">
        <f>IFERROR(Z489 / Y489, 0)</f>
        <v>0.3043473316546178</v>
      </c>
      <c r="AB489" t="str">
        <f>TEXT(C489, "mmmm")</f>
        <v>June</v>
      </c>
      <c r="AC489">
        <f>YEAR(C489)</f>
        <v>2025</v>
      </c>
      <c r="AD489" t="str">
        <f>IF(X489&lt;0, "Invalid: Ship Date Before Order Date", IF(W489&lt;0, "Invalid: Negative Discount", IF(W489&gt;0.5, "Invalid: Exceeds Allowed Discount", "OK")))</f>
        <v>OK</v>
      </c>
    </row>
    <row r="490" spans="1:30">
      <c r="A490" t="s">
        <v>2378</v>
      </c>
      <c r="B490" t="str">
        <f t="shared" si="7"/>
        <v>Unique</v>
      </c>
      <c r="C490" s="3">
        <v>45579</v>
      </c>
      <c r="D490" s="3">
        <v>45585</v>
      </c>
      <c r="E490" t="s">
        <v>2381</v>
      </c>
      <c r="F490" t="s">
        <v>107</v>
      </c>
      <c r="G490" t="s">
        <v>41</v>
      </c>
      <c r="H490" t="s">
        <v>27</v>
      </c>
      <c r="I490" t="s">
        <v>28</v>
      </c>
      <c r="J490" t="s">
        <v>29</v>
      </c>
      <c r="K490" t="s">
        <v>45</v>
      </c>
      <c r="L490" t="s">
        <v>46</v>
      </c>
      <c r="M490" t="s">
        <v>2382</v>
      </c>
      <c r="N490" t="s">
        <v>48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34</v>
      </c>
      <c r="V490" t="s">
        <v>35</v>
      </c>
      <c r="W490">
        <f>IF(ISBLANK(Q490), 0, IFERROR(VALUE(Q490), 0.7))</f>
        <v>0.2</v>
      </c>
      <c r="X490">
        <f>D490 - C490</f>
        <v>6</v>
      </c>
      <c r="Y490">
        <f>O490 * P490 * (1 - W490)</f>
        <v>8666.56</v>
      </c>
      <c r="Z490">
        <f>Y490 - S490</f>
        <v>2699.12</v>
      </c>
      <c r="AA490">
        <f>IFERROR(Z490 / Y490, 0)</f>
        <v>0.31144075619392242</v>
      </c>
      <c r="AB490" t="str">
        <f>TEXT(C490, "mmmm")</f>
        <v>October</v>
      </c>
      <c r="AC490">
        <f>YEAR(C490)</f>
        <v>2024</v>
      </c>
      <c r="AD490" t="str">
        <f>IF(X490&lt;0, "Invalid: Ship Date Before Order Date", IF(W490&lt;0, "Invalid: Negative Discount", IF(W490&gt;0.5, "Invalid: Exceeds Allowed Discount", "OK")))</f>
        <v>OK</v>
      </c>
    </row>
    <row r="491" spans="1:30">
      <c r="A491" t="s">
        <v>2383</v>
      </c>
      <c r="B491" t="str">
        <f t="shared" si="7"/>
        <v>Unique</v>
      </c>
      <c r="C491" s="3">
        <v>45329</v>
      </c>
      <c r="D491" s="3">
        <v>45334</v>
      </c>
      <c r="E491" t="s">
        <v>2385</v>
      </c>
      <c r="F491" t="s">
        <v>61</v>
      </c>
      <c r="G491" t="s">
        <v>115</v>
      </c>
      <c r="H491" t="s">
        <v>42</v>
      </c>
      <c r="I491" t="s">
        <v>121</v>
      </c>
      <c r="J491" t="s">
        <v>122</v>
      </c>
      <c r="K491" t="s">
        <v>86</v>
      </c>
      <c r="L491" t="s">
        <v>87</v>
      </c>
      <c r="M491" t="s">
        <v>2386</v>
      </c>
      <c r="N491" t="s">
        <v>33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34</v>
      </c>
      <c r="V491" t="s">
        <v>35</v>
      </c>
      <c r="W491">
        <f>IF(ISBLANK(Q491), 0, IFERROR(VALUE(Q491), 0.7))</f>
        <v>0.2</v>
      </c>
      <c r="X491">
        <f>D491 - C491</f>
        <v>5</v>
      </c>
      <c r="Y491">
        <f>O491 * P491 * (1 - W491)</f>
        <v>361.75200000000001</v>
      </c>
      <c r="Z491">
        <f>Y491 - S491</f>
        <v>99.222000000000037</v>
      </c>
      <c r="AA491">
        <f>IFERROR(Z491 / Y491, 0)</f>
        <v>0.27428182843495003</v>
      </c>
      <c r="AB491" t="str">
        <f>TEXT(C491, "mmmm")</f>
        <v>February</v>
      </c>
      <c r="AC491">
        <f>YEAR(C491)</f>
        <v>2024</v>
      </c>
      <c r="AD491" t="str">
        <f>IF(X491&lt;0, "Invalid: Ship Date Before Order Date", IF(W491&lt;0, "Invalid: Negative Discount", IF(W491&gt;0.5, "Invalid: Exceeds Allowed Discount", "OK")))</f>
        <v>OK</v>
      </c>
    </row>
    <row r="492" spans="1:30">
      <c r="A492" t="s">
        <v>2387</v>
      </c>
      <c r="B492" t="str">
        <f t="shared" si="7"/>
        <v>Unique</v>
      </c>
      <c r="C492" s="3">
        <v>45551</v>
      </c>
      <c r="D492" s="3">
        <v>45554</v>
      </c>
      <c r="E492" t="s">
        <v>2389</v>
      </c>
      <c r="F492" t="s">
        <v>107</v>
      </c>
      <c r="G492" t="s">
        <v>26</v>
      </c>
      <c r="H492" t="s">
        <v>73</v>
      </c>
      <c r="I492" t="s">
        <v>28</v>
      </c>
      <c r="J492" t="s">
        <v>135</v>
      </c>
      <c r="K492" t="s">
        <v>30</v>
      </c>
      <c r="L492" t="s">
        <v>198</v>
      </c>
      <c r="M492" t="s">
        <v>2390</v>
      </c>
      <c r="N492" t="s">
        <v>56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34</v>
      </c>
      <c r="V492" t="s">
        <v>35</v>
      </c>
      <c r="W492">
        <f>IF(ISBLANK(Q492), 0, IFERROR(VALUE(Q492), 0.7))</f>
        <v>0.15</v>
      </c>
      <c r="X492">
        <f>D492 - C492</f>
        <v>3</v>
      </c>
      <c r="Y492">
        <f>O492 * P492 * (1 - W492)</f>
        <v>2418.1990000000001</v>
      </c>
      <c r="Z492">
        <f>Y492 - S492</f>
        <v>804.37900000000013</v>
      </c>
      <c r="AA492">
        <f>IFERROR(Z492 / Y492, 0)</f>
        <v>0.33263556886757462</v>
      </c>
      <c r="AB492" t="str">
        <f>TEXT(C492, "mmmm")</f>
        <v>September</v>
      </c>
      <c r="AC492">
        <f>YEAR(C492)</f>
        <v>2024</v>
      </c>
      <c r="AD492" t="str">
        <f>IF(X492&lt;0, "Invalid: Ship Date Before Order Date", IF(W492&lt;0, "Invalid: Negative Discount", IF(W492&gt;0.5, "Invalid: Exceeds Allowed Discount", "OK")))</f>
        <v>OK</v>
      </c>
    </row>
    <row r="493" spans="1:30">
      <c r="A493" t="s">
        <v>2391</v>
      </c>
      <c r="B493" t="str">
        <f t="shared" si="7"/>
        <v>Unique</v>
      </c>
      <c r="C493" s="3">
        <v>45776</v>
      </c>
      <c r="D493" s="3">
        <v>45777</v>
      </c>
      <c r="E493" t="s">
        <v>2393</v>
      </c>
      <c r="F493" t="s">
        <v>40</v>
      </c>
      <c r="G493" t="s">
        <v>108</v>
      </c>
      <c r="H493" t="s">
        <v>62</v>
      </c>
      <c r="I493" t="s">
        <v>242</v>
      </c>
      <c r="J493" t="s">
        <v>243</v>
      </c>
      <c r="K493" t="s">
        <v>86</v>
      </c>
      <c r="L493" t="s">
        <v>87</v>
      </c>
      <c r="M493" t="s">
        <v>2394</v>
      </c>
      <c r="N493" t="s">
        <v>67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34</v>
      </c>
      <c r="V493" t="s">
        <v>35</v>
      </c>
      <c r="W493">
        <f>IF(ISBLANK(Q493), 0, IFERROR(VALUE(Q493), 0.7))</f>
        <v>0.2</v>
      </c>
      <c r="X493">
        <f>D493 - C493</f>
        <v>1</v>
      </c>
      <c r="Y493">
        <f>O493 * P493 * (1 - W493)</f>
        <v>1941.0560000000003</v>
      </c>
      <c r="Z493">
        <f>Y493 - S493</f>
        <v>733.63600000000019</v>
      </c>
      <c r="AA493">
        <f>IFERROR(Z493 / Y493, 0)</f>
        <v>0.37795715321969076</v>
      </c>
      <c r="AB493" t="str">
        <f>TEXT(C493, "mmmm")</f>
        <v>April</v>
      </c>
      <c r="AC493">
        <f>YEAR(C493)</f>
        <v>2025</v>
      </c>
      <c r="AD493" t="str">
        <f>IF(X493&lt;0, "Invalid: Ship Date Before Order Date", IF(W493&lt;0, "Invalid: Negative Discount", IF(W493&gt;0.5, "Invalid: Exceeds Allowed Discount", "OK")))</f>
        <v>OK</v>
      </c>
    </row>
    <row r="494" spans="1:30">
      <c r="A494" t="s">
        <v>2395</v>
      </c>
      <c r="B494" t="str">
        <f t="shared" si="7"/>
        <v>Unique</v>
      </c>
      <c r="C494" s="3">
        <v>45836</v>
      </c>
      <c r="D494" s="3">
        <v>45840</v>
      </c>
      <c r="E494" t="s">
        <v>2398</v>
      </c>
      <c r="F494" t="s">
        <v>72</v>
      </c>
      <c r="G494" t="s">
        <v>108</v>
      </c>
      <c r="H494" t="s">
        <v>62</v>
      </c>
      <c r="I494" t="s">
        <v>100</v>
      </c>
      <c r="J494" t="s">
        <v>101</v>
      </c>
      <c r="K494" t="s">
        <v>30</v>
      </c>
      <c r="L494" t="s">
        <v>156</v>
      </c>
      <c r="M494" t="s">
        <v>2399</v>
      </c>
      <c r="N494" t="s">
        <v>33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34</v>
      </c>
      <c r="V494" t="s">
        <v>35</v>
      </c>
      <c r="W494">
        <f>IF(ISBLANK(Q494), 0, IFERROR(VALUE(Q494), 0.7))</f>
        <v>0.25</v>
      </c>
      <c r="X494">
        <f>D494 - C494</f>
        <v>4</v>
      </c>
      <c r="Y494">
        <f>O494 * P494 * (1 - W494)</f>
        <v>4088.16</v>
      </c>
      <c r="Z494">
        <f>Y494 - S494</f>
        <v>882.48</v>
      </c>
      <c r="AA494">
        <f>IFERROR(Z494 / Y494, 0)</f>
        <v>0.21586239286133616</v>
      </c>
      <c r="AB494" t="str">
        <f>TEXT(C494, "mmmm")</f>
        <v>June</v>
      </c>
      <c r="AC494">
        <f>YEAR(C494)</f>
        <v>2025</v>
      </c>
      <c r="AD494" t="str">
        <f>IF(X494&lt;0, "Invalid: Ship Date Before Order Date", IF(W494&lt;0, "Invalid: Negative Discount", IF(W494&gt;0.5, "Invalid: Exceeds Allowed Discount", "OK")))</f>
        <v>OK</v>
      </c>
    </row>
    <row r="495" spans="1:30">
      <c r="A495" t="s">
        <v>2400</v>
      </c>
      <c r="B495" t="str">
        <f t="shared" si="7"/>
        <v>Unique</v>
      </c>
      <c r="C495" s="3">
        <v>45701</v>
      </c>
      <c r="D495" s="3">
        <v>45701</v>
      </c>
      <c r="E495" t="s">
        <v>2402</v>
      </c>
      <c r="F495" t="s">
        <v>366</v>
      </c>
      <c r="G495" t="s">
        <v>108</v>
      </c>
      <c r="H495" t="s">
        <v>42</v>
      </c>
      <c r="I495" t="s">
        <v>43</v>
      </c>
      <c r="J495" t="s">
        <v>44</v>
      </c>
      <c r="K495" t="s">
        <v>30</v>
      </c>
      <c r="L495" t="s">
        <v>31</v>
      </c>
      <c r="M495" t="s">
        <v>2403</v>
      </c>
      <c r="N495" t="s">
        <v>33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34</v>
      </c>
      <c r="V495" t="s">
        <v>35</v>
      </c>
      <c r="W495">
        <f>IF(ISBLANK(Q495), 0, IFERROR(VALUE(Q495), 0.7))</f>
        <v>0.05</v>
      </c>
      <c r="X495">
        <f>D495 - C495</f>
        <v>0</v>
      </c>
      <c r="Y495">
        <f>O495 * P495 * (1 - W495)</f>
        <v>15273.054999999997</v>
      </c>
      <c r="Z495">
        <f>Y495 - S495</f>
        <v>4184.2949999999964</v>
      </c>
      <c r="AA495">
        <f>IFERROR(Z495 / Y495, 0)</f>
        <v>0.27396581757873573</v>
      </c>
      <c r="AB495" t="str">
        <f>TEXT(C495, "mmmm")</f>
        <v>February</v>
      </c>
      <c r="AC495">
        <f>YEAR(C495)</f>
        <v>2025</v>
      </c>
      <c r="AD495" t="str">
        <f>IF(X495&lt;0, "Invalid: Ship Date Before Order Date", IF(W495&lt;0, "Invalid: Negative Discount", IF(W495&gt;0.5, "Invalid: Exceeds Allowed Discount", "OK")))</f>
        <v>OK</v>
      </c>
    </row>
    <row r="496" spans="1:30">
      <c r="A496" t="s">
        <v>2405</v>
      </c>
      <c r="B496" t="str">
        <f t="shared" si="7"/>
        <v>Unique</v>
      </c>
      <c r="C496" s="3">
        <v>45610</v>
      </c>
      <c r="D496" s="3">
        <v>45618</v>
      </c>
      <c r="E496" t="s">
        <v>2408</v>
      </c>
      <c r="F496" t="s">
        <v>53</v>
      </c>
      <c r="G496" t="s">
        <v>26</v>
      </c>
      <c r="H496" t="s">
        <v>73</v>
      </c>
      <c r="I496" t="s">
        <v>84</v>
      </c>
      <c r="J496" t="s">
        <v>85</v>
      </c>
      <c r="K496" t="s">
        <v>86</v>
      </c>
      <c r="L496" t="s">
        <v>223</v>
      </c>
      <c r="M496" t="s">
        <v>2409</v>
      </c>
      <c r="N496" t="s">
        <v>67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200</v>
      </c>
      <c r="V496" t="s">
        <v>78</v>
      </c>
      <c r="W496">
        <f>IF(ISBLANK(Q496), 0, IFERROR(VALUE(Q496), 0.7))</f>
        <v>-0.13</v>
      </c>
      <c r="X496">
        <f>D496 - C496</f>
        <v>8</v>
      </c>
      <c r="Y496">
        <f>O496 * P496 * (1 - W496)</f>
        <v>2276.9951999999998</v>
      </c>
      <c r="Z496">
        <f>Y496 - S496</f>
        <v>707.61519999999973</v>
      </c>
      <c r="AA496">
        <f>IFERROR(Z496 / Y496, 0)</f>
        <v>0.31076710218800629</v>
      </c>
      <c r="AB496" t="str">
        <f>TEXT(C496, "mmmm")</f>
        <v>November</v>
      </c>
      <c r="AC496">
        <f>YEAR(C496)</f>
        <v>2024</v>
      </c>
      <c r="AD496" t="str">
        <f>IF(X496&lt;0, "Invalid: Ship Date Before Order Date", IF(W496&lt;0, "Invalid: Negative Discount", IF(W496&gt;0.5, "Invalid: Exceeds Allowed Discount", "OK")))</f>
        <v>Invalid: Negative Discount</v>
      </c>
    </row>
    <row r="497" spans="1:30">
      <c r="A497" t="s">
        <v>2410</v>
      </c>
      <c r="B497" t="str">
        <f t="shared" si="7"/>
        <v>Unique</v>
      </c>
      <c r="C497" s="3">
        <v>45421</v>
      </c>
      <c r="D497" s="3">
        <v>45427</v>
      </c>
      <c r="E497" t="s">
        <v>2412</v>
      </c>
      <c r="F497" t="s">
        <v>40</v>
      </c>
      <c r="G497" t="s">
        <v>41</v>
      </c>
      <c r="H497" t="s">
        <v>42</v>
      </c>
      <c r="I497" t="s">
        <v>216</v>
      </c>
      <c r="J497" t="s">
        <v>217</v>
      </c>
      <c r="K497" t="s">
        <v>86</v>
      </c>
      <c r="L497" t="s">
        <v>223</v>
      </c>
      <c r="M497" t="s">
        <v>2413</v>
      </c>
      <c r="N497" t="s">
        <v>33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124</v>
      </c>
      <c r="V497" t="s">
        <v>125</v>
      </c>
      <c r="W497">
        <f>IF(ISBLANK(Q497), 0, IFERROR(VALUE(Q497), 0.7))</f>
        <v>0.05</v>
      </c>
      <c r="X497">
        <f>D497 - C497</f>
        <v>6</v>
      </c>
      <c r="Y497">
        <f>O497 * P497 * (1 - W497)</f>
        <v>3784.7239999999997</v>
      </c>
      <c r="Z497">
        <f>Y497 - S497</f>
        <v>1365.4839999999999</v>
      </c>
      <c r="AA497">
        <f>IFERROR(Z497 / Y497, 0)</f>
        <v>0.36078826355633858</v>
      </c>
      <c r="AB497" t="str">
        <f>TEXT(C497, "mmmm")</f>
        <v>May</v>
      </c>
      <c r="AC497">
        <f>YEAR(C497)</f>
        <v>2024</v>
      </c>
      <c r="AD497" t="str">
        <f>IF(X497&lt;0, "Invalid: Ship Date Before Order Date", IF(W497&lt;0, "Invalid: Negative Discount", IF(W497&gt;0.5, "Invalid: Exceeds Allowed Discount", "OK")))</f>
        <v>OK</v>
      </c>
    </row>
    <row r="498" spans="1:30">
      <c r="A498" t="s">
        <v>2414</v>
      </c>
      <c r="B498" t="str">
        <f t="shared" si="7"/>
        <v>Unique</v>
      </c>
      <c r="C498" s="3">
        <v>45842</v>
      </c>
      <c r="D498" s="3">
        <v>45844</v>
      </c>
      <c r="E498" t="s">
        <v>2417</v>
      </c>
      <c r="F498" t="s">
        <v>366</v>
      </c>
      <c r="G498" t="s">
        <v>41</v>
      </c>
      <c r="H498" t="s">
        <v>42</v>
      </c>
      <c r="I498" t="s">
        <v>311</v>
      </c>
      <c r="J498" t="s">
        <v>312</v>
      </c>
      <c r="K498" t="s">
        <v>45</v>
      </c>
      <c r="L498" t="s">
        <v>76</v>
      </c>
      <c r="M498" t="s">
        <v>2418</v>
      </c>
      <c r="N498" t="s">
        <v>33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34</v>
      </c>
      <c r="V498" t="s">
        <v>35</v>
      </c>
      <c r="W498">
        <f>IF(ISBLANK(Q498), 0, IFERROR(VALUE(Q498), 0.7))</f>
        <v>0.1</v>
      </c>
      <c r="X498">
        <f>D498 - C498</f>
        <v>2</v>
      </c>
      <c r="Y498">
        <f>O498 * P498 * (1 - W498)</f>
        <v>6635.5560000000005</v>
      </c>
      <c r="Z498">
        <f>Y498 - S498</f>
        <v>2982.6460000000006</v>
      </c>
      <c r="AA498">
        <f>IFERROR(Z498 / Y498, 0)</f>
        <v>0.44949451108543131</v>
      </c>
      <c r="AB498" t="str">
        <f>TEXT(C498, "mmmm")</f>
        <v>July</v>
      </c>
      <c r="AC498">
        <f>YEAR(C498)</f>
        <v>2025</v>
      </c>
      <c r="AD498" t="str">
        <f>IF(X498&lt;0, "Invalid: Ship Date Before Order Date", IF(W498&lt;0, "Invalid: Negative Discount", IF(W498&gt;0.5, "Invalid: Exceeds Allowed Discount", "OK")))</f>
        <v>OK</v>
      </c>
    </row>
    <row r="499" spans="1:30">
      <c r="A499" t="s">
        <v>2419</v>
      </c>
      <c r="B499" t="str">
        <f t="shared" si="7"/>
        <v>Unique</v>
      </c>
      <c r="C499" s="3">
        <v>45533</v>
      </c>
      <c r="D499" s="3">
        <v>45533</v>
      </c>
      <c r="E499" t="s">
        <v>2421</v>
      </c>
      <c r="F499" t="s">
        <v>168</v>
      </c>
      <c r="G499" t="s">
        <v>41</v>
      </c>
      <c r="H499" t="s">
        <v>27</v>
      </c>
      <c r="I499" t="s">
        <v>174</v>
      </c>
      <c r="J499" t="s">
        <v>175</v>
      </c>
      <c r="K499" t="s">
        <v>86</v>
      </c>
      <c r="L499" t="s">
        <v>87</v>
      </c>
      <c r="M499" t="s">
        <v>2422</v>
      </c>
      <c r="N499" t="s">
        <v>33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34</v>
      </c>
      <c r="V499" t="s">
        <v>78</v>
      </c>
      <c r="W499">
        <f>IF(ISBLANK(Q499), 0, IFERROR(VALUE(Q499), 0.7))</f>
        <v>0.2</v>
      </c>
      <c r="X499">
        <f>D499 - C499</f>
        <v>0</v>
      </c>
      <c r="Y499">
        <f>O499 * P499 * (1 - W499)</f>
        <v>2485.5040000000004</v>
      </c>
      <c r="Z499">
        <f>Y499 - S499</f>
        <v>457.0740000000003</v>
      </c>
      <c r="AA499">
        <f>IFERROR(Z499 / Y499, 0)</f>
        <v>0.18389590199814615</v>
      </c>
      <c r="AB499" t="str">
        <f>TEXT(C499, "mmmm")</f>
        <v>August</v>
      </c>
      <c r="AC499">
        <f>YEAR(C499)</f>
        <v>2024</v>
      </c>
      <c r="AD499" t="str">
        <f>IF(X499&lt;0, "Invalid: Ship Date Before Order Date", IF(W499&lt;0, "Invalid: Negative Discount", IF(W499&gt;0.5, "Invalid: Exceeds Allowed Discount", "OK")))</f>
        <v>OK</v>
      </c>
    </row>
    <row r="500" spans="1:30">
      <c r="A500" t="s">
        <v>2423</v>
      </c>
      <c r="B500" t="str">
        <f t="shared" si="7"/>
        <v>Unique</v>
      </c>
      <c r="C500" s="3">
        <v>45907</v>
      </c>
      <c r="D500" s="3">
        <v>45910</v>
      </c>
      <c r="E500" t="s">
        <v>2426</v>
      </c>
      <c r="F500" t="s">
        <v>25</v>
      </c>
      <c r="G500" t="s">
        <v>26</v>
      </c>
      <c r="H500" t="s">
        <v>27</v>
      </c>
      <c r="I500" t="s">
        <v>154</v>
      </c>
      <c r="J500" t="s">
        <v>155</v>
      </c>
      <c r="K500" t="s">
        <v>45</v>
      </c>
      <c r="L500" t="s">
        <v>76</v>
      </c>
      <c r="M500" t="s">
        <v>2427</v>
      </c>
      <c r="N500" t="s">
        <v>48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124</v>
      </c>
      <c r="V500" t="s">
        <v>78</v>
      </c>
      <c r="W500">
        <f>IF(ISBLANK(Q500), 0, IFERROR(VALUE(Q500), 0.7))</f>
        <v>0.05</v>
      </c>
      <c r="X500">
        <f>D500 - C500</f>
        <v>3</v>
      </c>
      <c r="Y500">
        <f>O500 * P500 * (1 - W500)</f>
        <v>850.34500000000003</v>
      </c>
      <c r="Z500">
        <f>Y500 - S500</f>
        <v>249.36500000000001</v>
      </c>
      <c r="AA500">
        <f>IFERROR(Z500 / Y500, 0)</f>
        <v>0.29325156260106194</v>
      </c>
      <c r="AB500" t="str">
        <f>TEXT(C500, "mmmm")</f>
        <v>September</v>
      </c>
      <c r="AC500">
        <f>YEAR(C500)</f>
        <v>2025</v>
      </c>
      <c r="AD500" t="str">
        <f>IF(X500&lt;0, "Invalid: Ship Date Before Order Date", IF(W500&lt;0, "Invalid: Negative Discount", IF(W500&gt;0.5, "Invalid: Exceeds Allowed Discount", "OK")))</f>
        <v>OK</v>
      </c>
    </row>
    <row r="501" spans="1:30">
      <c r="A501" t="s">
        <v>2429</v>
      </c>
      <c r="B501" t="str">
        <f t="shared" si="7"/>
        <v>Unique</v>
      </c>
      <c r="C501" s="3">
        <v>45648</v>
      </c>
      <c r="D501" s="3">
        <v>45652</v>
      </c>
      <c r="E501" t="s">
        <v>2431</v>
      </c>
      <c r="F501" t="s">
        <v>148</v>
      </c>
      <c r="G501" t="s">
        <v>115</v>
      </c>
      <c r="H501" t="s">
        <v>27</v>
      </c>
      <c r="I501" t="s">
        <v>174</v>
      </c>
      <c r="J501" t="s">
        <v>175</v>
      </c>
      <c r="K501" t="s">
        <v>45</v>
      </c>
      <c r="L501" t="s">
        <v>76</v>
      </c>
      <c r="M501" t="s">
        <v>2432</v>
      </c>
      <c r="N501" t="s">
        <v>67</v>
      </c>
      <c r="O501">
        <v>9</v>
      </c>
      <c r="P501">
        <v>1110.8699999999999</v>
      </c>
      <c r="R501">
        <v>7498.37</v>
      </c>
      <c r="S501">
        <v>6059.07</v>
      </c>
      <c r="T501">
        <v>1439.3</v>
      </c>
      <c r="U501" t="s">
        <v>34</v>
      </c>
      <c r="V501" t="s">
        <v>78</v>
      </c>
      <c r="W501">
        <f>IF(ISBLANK(Q501), 0, IFERROR(VALUE(Q501), 0.7))</f>
        <v>0</v>
      </c>
      <c r="X501">
        <f>D501 - C501</f>
        <v>4</v>
      </c>
      <c r="Y501">
        <f>O501 * P501 * (1 - W501)</f>
        <v>9997.8299999999981</v>
      </c>
      <c r="Z501">
        <f>Y501 - S501</f>
        <v>3938.7599999999984</v>
      </c>
      <c r="AA501">
        <f>IFERROR(Z501 / Y501, 0)</f>
        <v>0.3939614896432525</v>
      </c>
      <c r="AB501" t="str">
        <f>TEXT(C501, "mmmm")</f>
        <v>December</v>
      </c>
      <c r="AC501">
        <f>YEAR(C501)</f>
        <v>2024</v>
      </c>
      <c r="AD501" t="str">
        <f>IF(X501&lt;0, "Invalid: Ship Date Before Order Date", IF(W501&lt;0, "Invalid: Negative Discount", IF(W501&gt;0.5, "Invalid: Exceeds Allowed Discount", "OK")))</f>
        <v>OK</v>
      </c>
    </row>
    <row r="502" spans="1:30">
      <c r="A502" t="s">
        <v>2433</v>
      </c>
      <c r="B502" t="str">
        <f t="shared" si="7"/>
        <v>Unique</v>
      </c>
      <c r="C502" s="3">
        <v>45429</v>
      </c>
      <c r="D502" s="3">
        <v>45434</v>
      </c>
      <c r="E502" t="s">
        <v>2435</v>
      </c>
      <c r="F502" t="s">
        <v>168</v>
      </c>
      <c r="G502" t="s">
        <v>26</v>
      </c>
      <c r="H502" t="s">
        <v>62</v>
      </c>
      <c r="I502" t="s">
        <v>242</v>
      </c>
      <c r="J502" t="s">
        <v>243</v>
      </c>
      <c r="K502" t="s">
        <v>86</v>
      </c>
      <c r="L502" t="s">
        <v>223</v>
      </c>
      <c r="M502" t="s">
        <v>2436</v>
      </c>
      <c r="N502" t="s">
        <v>48</v>
      </c>
      <c r="O502">
        <v>9</v>
      </c>
      <c r="P502">
        <v>3795.99</v>
      </c>
      <c r="Q502" t="s">
        <v>1170</v>
      </c>
      <c r="R502">
        <v>34163.910000000003</v>
      </c>
      <c r="S502">
        <v>28577.15</v>
      </c>
      <c r="T502">
        <v>5586.76</v>
      </c>
      <c r="U502" t="s">
        <v>34</v>
      </c>
      <c r="V502" t="s">
        <v>35</v>
      </c>
      <c r="W502">
        <f>IF(ISBLANK(Q502), 0, IFERROR(VALUE(Q502), 0.7))</f>
        <v>0.85</v>
      </c>
      <c r="X502">
        <f>D502 - C502</f>
        <v>5</v>
      </c>
      <c r="Y502">
        <f>O502 * P502 * (1 - W502)</f>
        <v>5124.5865000000003</v>
      </c>
      <c r="Z502">
        <f>Y502 - S502</f>
        <v>-23452.5635</v>
      </c>
      <c r="AA502">
        <f>IFERROR(Z502 / Y502, 0)</f>
        <v>-4.5764791949555343</v>
      </c>
      <c r="AB502" t="str">
        <f>TEXT(C502, "mmmm")</f>
        <v>May</v>
      </c>
      <c r="AC502">
        <f>YEAR(C502)</f>
        <v>2024</v>
      </c>
      <c r="AD502" t="str">
        <f>IF(X502&lt;0, "Invalid: Ship Date Before Order Date", IF(W502&lt;0, "Invalid: Negative Discount", IF(W502&gt;0.5, "Invalid: Exceeds Allowed Discount", "OK")))</f>
        <v>Invalid: Exceeds Allowed Discount</v>
      </c>
    </row>
    <row r="503" spans="1:30">
      <c r="A503" t="s">
        <v>2437</v>
      </c>
      <c r="B503" t="str">
        <f t="shared" si="7"/>
        <v>Unique</v>
      </c>
      <c r="C503" s="3">
        <v>45515</v>
      </c>
      <c r="D503" s="3">
        <v>45521</v>
      </c>
      <c r="E503" t="s">
        <v>1237</v>
      </c>
      <c r="F503" t="s">
        <v>93</v>
      </c>
      <c r="G503" t="s">
        <v>26</v>
      </c>
      <c r="H503" t="s">
        <v>42</v>
      </c>
      <c r="I503" t="s">
        <v>311</v>
      </c>
      <c r="J503" t="s">
        <v>312</v>
      </c>
      <c r="K503" t="s">
        <v>30</v>
      </c>
      <c r="L503" t="s">
        <v>54</v>
      </c>
      <c r="M503" t="s">
        <v>2440</v>
      </c>
      <c r="N503" t="s">
        <v>33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34</v>
      </c>
      <c r="V503" t="s">
        <v>35</v>
      </c>
      <c r="W503">
        <f>IF(ISBLANK(Q503), 0, IFERROR(VALUE(Q503), 0.7))</f>
        <v>0.15</v>
      </c>
      <c r="X503">
        <f>D503 - C503</f>
        <v>6</v>
      </c>
      <c r="Y503">
        <f>O503 * P503 * (1 - W503)</f>
        <v>17837.453999999998</v>
      </c>
      <c r="Z503">
        <f>Y503 - S503</f>
        <v>4210.4339999999975</v>
      </c>
      <c r="AA503">
        <f>IFERROR(Z503 / Y503, 0)</f>
        <v>0.23604456106796395</v>
      </c>
      <c r="AB503" t="str">
        <f>TEXT(C503, "mmmm")</f>
        <v>August</v>
      </c>
      <c r="AC503">
        <f>YEAR(C503)</f>
        <v>2024</v>
      </c>
      <c r="AD503" t="str">
        <f>IF(X503&lt;0, "Invalid: Ship Date Before Order Date", IF(W503&lt;0, "Invalid: Negative Discount", IF(W503&gt;0.5, "Invalid: Exceeds Allowed Discount", "OK")))</f>
        <v>OK</v>
      </c>
    </row>
    <row r="504" spans="1:30">
      <c r="A504" t="s">
        <v>2441</v>
      </c>
      <c r="B504" t="str">
        <f t="shared" si="7"/>
        <v>Unique</v>
      </c>
      <c r="C504" s="3">
        <v>45383</v>
      </c>
      <c r="D504" s="3">
        <v>45391</v>
      </c>
      <c r="E504" t="s">
        <v>2444</v>
      </c>
      <c r="F504" t="s">
        <v>142</v>
      </c>
      <c r="G504" t="s">
        <v>41</v>
      </c>
      <c r="H504" t="s">
        <v>42</v>
      </c>
      <c r="I504" t="s">
        <v>43</v>
      </c>
      <c r="J504" t="s">
        <v>44</v>
      </c>
      <c r="K504" t="s">
        <v>86</v>
      </c>
      <c r="L504" t="s">
        <v>94</v>
      </c>
      <c r="M504" t="s">
        <v>2445</v>
      </c>
      <c r="N504" t="s">
        <v>33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34</v>
      </c>
      <c r="V504" t="s">
        <v>35</v>
      </c>
      <c r="W504">
        <f>IF(ISBLANK(Q504), 0, IFERROR(VALUE(Q504), 0.7))</f>
        <v>0.1</v>
      </c>
      <c r="X504">
        <f>D504 - C504</f>
        <v>8</v>
      </c>
      <c r="Y504">
        <f>O504 * P504 * (1 - W504)</f>
        <v>4465.4220000000005</v>
      </c>
      <c r="Z504">
        <f>Y504 - S504</f>
        <v>1088.3220000000006</v>
      </c>
      <c r="AA504">
        <f>IFERROR(Z504 / Y504, 0)</f>
        <v>0.24372209390288319</v>
      </c>
      <c r="AB504" t="str">
        <f>TEXT(C504, "mmmm")</f>
        <v>April</v>
      </c>
      <c r="AC504">
        <f>YEAR(C504)</f>
        <v>2024</v>
      </c>
      <c r="AD504" t="str">
        <f>IF(X504&lt;0, "Invalid: Ship Date Before Order Date", IF(W504&lt;0, "Invalid: Negative Discount", IF(W504&gt;0.5, "Invalid: Exceeds Allowed Discount", "OK")))</f>
        <v>OK</v>
      </c>
    </row>
    <row r="505" spans="1:30">
      <c r="A505" t="s">
        <v>2446</v>
      </c>
      <c r="B505" t="str">
        <f t="shared" si="7"/>
        <v>Unique</v>
      </c>
      <c r="C505" s="3">
        <v>45563</v>
      </c>
      <c r="D505" s="3">
        <v>45570</v>
      </c>
      <c r="E505" t="s">
        <v>2449</v>
      </c>
      <c r="F505" t="s">
        <v>162</v>
      </c>
      <c r="G505" t="s">
        <v>26</v>
      </c>
      <c r="H505" t="s">
        <v>62</v>
      </c>
      <c r="I505" t="s">
        <v>339</v>
      </c>
      <c r="J505" t="s">
        <v>340</v>
      </c>
      <c r="K505" t="s">
        <v>86</v>
      </c>
      <c r="L505" t="s">
        <v>223</v>
      </c>
      <c r="M505" t="s">
        <v>2450</v>
      </c>
      <c r="N505" t="s">
        <v>67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34</v>
      </c>
      <c r="V505" t="s">
        <v>35</v>
      </c>
      <c r="W505">
        <f>IF(ISBLANK(Q505), 0, IFERROR(VALUE(Q505), 0.7))</f>
        <v>0.1</v>
      </c>
      <c r="X505">
        <f>D505 - C505</f>
        <v>7</v>
      </c>
      <c r="Y505">
        <f>O505 * P505 * (1 - W505)</f>
        <v>10594.08</v>
      </c>
      <c r="Z505">
        <f>Y505 - S505</f>
        <v>3433.7699999999995</v>
      </c>
      <c r="AA505">
        <f>IFERROR(Z505 / Y505, 0)</f>
        <v>0.32412158488514337</v>
      </c>
      <c r="AB505" t="str">
        <f>TEXT(C505, "mmmm")</f>
        <v>September</v>
      </c>
      <c r="AC505">
        <f>YEAR(C505)</f>
        <v>2024</v>
      </c>
      <c r="AD505" t="str">
        <f>IF(X505&lt;0, "Invalid: Ship Date Before Order Date", IF(W505&lt;0, "Invalid: Negative Discount", IF(W505&gt;0.5, "Invalid: Exceeds Allowed Discount", "OK")))</f>
        <v>OK</v>
      </c>
    </row>
    <row r="506" spans="1:30">
      <c r="A506" t="s">
        <v>2451</v>
      </c>
      <c r="B506" t="str">
        <f t="shared" si="7"/>
        <v>Unique</v>
      </c>
      <c r="C506" s="3">
        <v>45700</v>
      </c>
      <c r="D506" s="3">
        <v>45705</v>
      </c>
      <c r="E506" t="s">
        <v>2454</v>
      </c>
      <c r="F506" t="s">
        <v>61</v>
      </c>
      <c r="G506" t="s">
        <v>108</v>
      </c>
      <c r="H506" t="s">
        <v>73</v>
      </c>
      <c r="I506" t="s">
        <v>235</v>
      </c>
      <c r="J506" t="s">
        <v>236</v>
      </c>
      <c r="K506" t="s">
        <v>30</v>
      </c>
      <c r="L506" t="s">
        <v>54</v>
      </c>
      <c r="M506" t="s">
        <v>2455</v>
      </c>
      <c r="N506" t="s">
        <v>67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34</v>
      </c>
      <c r="V506" t="s">
        <v>35</v>
      </c>
      <c r="W506">
        <f>IF(ISBLANK(Q506), 0, IFERROR(VALUE(Q506), 0.7))</f>
        <v>0</v>
      </c>
      <c r="X506">
        <f>D506 - C506</f>
        <v>5</v>
      </c>
      <c r="Y506">
        <f>O506 * P506 * (1 - W506)</f>
        <v>17312.48</v>
      </c>
      <c r="Z506">
        <f>Y506 - S506</f>
        <v>2888.26</v>
      </c>
      <c r="AA506">
        <f>IFERROR(Z506 / Y506, 0)</f>
        <v>0.16683109525613893</v>
      </c>
      <c r="AB506" t="str">
        <f>TEXT(C506, "mmmm")</f>
        <v>February</v>
      </c>
      <c r="AC506">
        <f>YEAR(C506)</f>
        <v>2025</v>
      </c>
      <c r="AD506" t="str">
        <f>IF(X506&lt;0, "Invalid: Ship Date Before Order Date", IF(W506&lt;0, "Invalid: Negative Discount", IF(W506&gt;0.5, "Invalid: Exceeds Allowed Discount", "OK")))</f>
        <v>OK</v>
      </c>
    </row>
    <row r="507" spans="1:30">
      <c r="A507" t="s">
        <v>2456</v>
      </c>
      <c r="B507" t="str">
        <f t="shared" si="7"/>
        <v>Unique</v>
      </c>
      <c r="C507" s="3">
        <v>45605</v>
      </c>
      <c r="D507" s="3">
        <v>45610</v>
      </c>
      <c r="E507" t="s">
        <v>2458</v>
      </c>
      <c r="F507" t="s">
        <v>93</v>
      </c>
      <c r="G507" t="s">
        <v>108</v>
      </c>
      <c r="H507" t="s">
        <v>73</v>
      </c>
      <c r="I507" t="s">
        <v>84</v>
      </c>
      <c r="J507" t="s">
        <v>85</v>
      </c>
      <c r="K507" t="s">
        <v>30</v>
      </c>
      <c r="L507" t="s">
        <v>54</v>
      </c>
      <c r="M507" t="s">
        <v>2459</v>
      </c>
      <c r="N507" t="s">
        <v>56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34</v>
      </c>
      <c r="V507" t="s">
        <v>78</v>
      </c>
      <c r="W507">
        <f>IF(ISBLANK(Q507), 0, IFERROR(VALUE(Q507), 0.7))</f>
        <v>0.2</v>
      </c>
      <c r="X507">
        <f>D507 - C507</f>
        <v>5</v>
      </c>
      <c r="Y507">
        <f>O507 * P507 * (1 - W507)</f>
        <v>17555.688000000002</v>
      </c>
      <c r="Z507">
        <f>Y507 - S507</f>
        <v>4262.4880000000012</v>
      </c>
      <c r="AA507">
        <f>IFERROR(Z507 / Y507, 0)</f>
        <v>0.24279811762432785</v>
      </c>
      <c r="AB507" t="str">
        <f>TEXT(C507, "mmmm")</f>
        <v>November</v>
      </c>
      <c r="AC507">
        <f>YEAR(C507)</f>
        <v>2024</v>
      </c>
      <c r="AD507" t="str">
        <f>IF(X507&lt;0, "Invalid: Ship Date Before Order Date", IF(W507&lt;0, "Invalid: Negative Discount", IF(W507&gt;0.5, "Invalid: Exceeds Allowed Discount", "OK")))</f>
        <v>OK</v>
      </c>
    </row>
    <row r="508" spans="1:30">
      <c r="A508" t="s">
        <v>2460</v>
      </c>
      <c r="B508" t="str">
        <f t="shared" si="7"/>
        <v>Unique</v>
      </c>
      <c r="C508" s="3">
        <v>45641</v>
      </c>
      <c r="D508" s="3">
        <v>45641</v>
      </c>
      <c r="E508" t="s">
        <v>2463</v>
      </c>
      <c r="F508" t="s">
        <v>162</v>
      </c>
      <c r="G508" t="s">
        <v>41</v>
      </c>
      <c r="H508" t="s">
        <v>27</v>
      </c>
      <c r="I508" t="s">
        <v>154</v>
      </c>
      <c r="J508" t="s">
        <v>155</v>
      </c>
      <c r="K508" t="s">
        <v>45</v>
      </c>
      <c r="L508" t="s">
        <v>65</v>
      </c>
      <c r="M508" t="s">
        <v>2464</v>
      </c>
      <c r="N508" t="s">
        <v>56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124</v>
      </c>
      <c r="V508" t="s">
        <v>125</v>
      </c>
      <c r="W508">
        <f>IF(ISBLANK(Q508), 0, IFERROR(VALUE(Q508), 0.7))</f>
        <v>0.1</v>
      </c>
      <c r="X508">
        <f>D508 - C508</f>
        <v>0</v>
      </c>
      <c r="Y508">
        <f>O508 * P508 * (1 - W508)</f>
        <v>1205.6399999999999</v>
      </c>
      <c r="Z508">
        <f>Y508 - S508</f>
        <v>363.56999999999982</v>
      </c>
      <c r="AA508">
        <f>IFERROR(Z508 / Y508, 0)</f>
        <v>0.30155767890912699</v>
      </c>
      <c r="AB508" t="str">
        <f>TEXT(C508, "mmmm")</f>
        <v>December</v>
      </c>
      <c r="AC508">
        <f>YEAR(C508)</f>
        <v>2024</v>
      </c>
      <c r="AD508" t="str">
        <f>IF(X508&lt;0, "Invalid: Ship Date Before Order Date", IF(W508&lt;0, "Invalid: Negative Discount", IF(W508&gt;0.5, "Invalid: Exceeds Allowed Discount", "OK")))</f>
        <v>OK</v>
      </c>
    </row>
    <row r="509" spans="1:30">
      <c r="A509" t="s">
        <v>2465</v>
      </c>
      <c r="B509" t="str">
        <f t="shared" si="7"/>
        <v>Unique</v>
      </c>
      <c r="C509" s="3">
        <v>45762</v>
      </c>
      <c r="D509" s="3">
        <v>45769</v>
      </c>
      <c r="E509" t="s">
        <v>2466</v>
      </c>
      <c r="F509" t="s">
        <v>53</v>
      </c>
      <c r="G509" t="s">
        <v>41</v>
      </c>
      <c r="H509" t="s">
        <v>27</v>
      </c>
      <c r="I509" t="s">
        <v>323</v>
      </c>
      <c r="J509" t="s">
        <v>324</v>
      </c>
      <c r="K509" t="s">
        <v>30</v>
      </c>
      <c r="L509" t="s">
        <v>198</v>
      </c>
      <c r="M509" t="s">
        <v>2467</v>
      </c>
      <c r="N509" t="s">
        <v>48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34</v>
      </c>
      <c r="V509" t="s">
        <v>35</v>
      </c>
      <c r="W509">
        <f>IF(ISBLANK(Q509), 0, IFERROR(VALUE(Q509), 0.7))</f>
        <v>0.25</v>
      </c>
      <c r="X509">
        <f>D509 - C509</f>
        <v>7</v>
      </c>
      <c r="Y509">
        <f>O509 * P509 * (1 - W509)</f>
        <v>8971.26</v>
      </c>
      <c r="Z509">
        <f>Y509 - S509</f>
        <v>2156.91</v>
      </c>
      <c r="AA509">
        <f>IFERROR(Z509 / Y509, 0)</f>
        <v>0.24042442198754688</v>
      </c>
      <c r="AB509" t="str">
        <f>TEXT(C509, "mmmm")</f>
        <v>April</v>
      </c>
      <c r="AC509">
        <f>YEAR(C509)</f>
        <v>2025</v>
      </c>
      <c r="AD509" t="str">
        <f>IF(X509&lt;0, "Invalid: Ship Date Before Order Date", IF(W509&lt;0, "Invalid: Negative Discount", IF(W509&gt;0.5, "Invalid: Exceeds Allowed Discount", "OK")))</f>
        <v>OK</v>
      </c>
    </row>
    <row r="510" spans="1:30">
      <c r="A510" t="s">
        <v>2468</v>
      </c>
      <c r="B510" t="str">
        <f t="shared" si="7"/>
        <v>Unique</v>
      </c>
      <c r="C510" s="3">
        <v>45382</v>
      </c>
      <c r="D510" s="3">
        <v>45477</v>
      </c>
      <c r="E510" t="s">
        <v>2470</v>
      </c>
      <c r="F510" t="s">
        <v>53</v>
      </c>
      <c r="G510" t="s">
        <v>41</v>
      </c>
      <c r="H510" t="s">
        <v>27</v>
      </c>
      <c r="I510" t="s">
        <v>323</v>
      </c>
      <c r="J510" t="s">
        <v>324</v>
      </c>
      <c r="K510" t="s">
        <v>86</v>
      </c>
      <c r="L510" t="s">
        <v>382</v>
      </c>
      <c r="M510" t="s">
        <v>2471</v>
      </c>
      <c r="N510" t="s">
        <v>33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34</v>
      </c>
      <c r="V510" t="s">
        <v>35</v>
      </c>
      <c r="W510">
        <f>IF(ISBLANK(Q510), 0, IFERROR(VALUE(Q510), 0.7))</f>
        <v>0</v>
      </c>
      <c r="X510">
        <f>D510 - C510</f>
        <v>95</v>
      </c>
      <c r="Y510">
        <f>O510 * P510 * (1 - W510)</f>
        <v>7324</v>
      </c>
      <c r="Z510">
        <f>Y510 - S510</f>
        <v>3144.37</v>
      </c>
      <c r="AA510">
        <f>IFERROR(Z510 / Y510, 0)</f>
        <v>0.42932413981430911</v>
      </c>
      <c r="AB510" t="str">
        <f>TEXT(C510, "mmmm")</f>
        <v>March</v>
      </c>
      <c r="AC510">
        <f>YEAR(C510)</f>
        <v>2024</v>
      </c>
      <c r="AD510" t="str">
        <f>IF(X510&lt;0, "Invalid: Ship Date Before Order Date", IF(W510&lt;0, "Invalid: Negative Discount", IF(W510&gt;0.5, "Invalid: Exceeds Allowed Discount", "OK")))</f>
        <v>OK</v>
      </c>
    </row>
    <row r="511" spans="1:30">
      <c r="A511" t="s">
        <v>2472</v>
      </c>
      <c r="B511" t="str">
        <f t="shared" si="7"/>
        <v>Unique</v>
      </c>
      <c r="C511" s="3">
        <v>45789</v>
      </c>
      <c r="D511" s="3">
        <v>45791</v>
      </c>
      <c r="E511" t="s">
        <v>2475</v>
      </c>
      <c r="F511" t="s">
        <v>93</v>
      </c>
      <c r="G511" t="s">
        <v>26</v>
      </c>
      <c r="H511" t="s">
        <v>73</v>
      </c>
      <c r="I511" t="s">
        <v>235</v>
      </c>
      <c r="J511" t="s">
        <v>236</v>
      </c>
      <c r="K511" t="s">
        <v>86</v>
      </c>
      <c r="L511" t="s">
        <v>382</v>
      </c>
      <c r="M511" t="s">
        <v>2476</v>
      </c>
      <c r="N511" t="s">
        <v>48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34</v>
      </c>
      <c r="V511" t="s">
        <v>35</v>
      </c>
      <c r="W511">
        <f>IF(ISBLANK(Q511), 0, IFERROR(VALUE(Q511), 0.7))</f>
        <v>0.2</v>
      </c>
      <c r="X511">
        <f>D511 - C511</f>
        <v>2</v>
      </c>
      <c r="Y511">
        <f>O511 * P511 * (1 - W511)</f>
        <v>23241.216</v>
      </c>
      <c r="Z511">
        <f>Y511 - S511</f>
        <v>6020.3159999999989</v>
      </c>
      <c r="AA511">
        <f>IFERROR(Z511 / Y511, 0)</f>
        <v>0.25903618812371948</v>
      </c>
      <c r="AB511" t="str">
        <f>TEXT(C511, "mmmm")</f>
        <v>May</v>
      </c>
      <c r="AC511">
        <f>YEAR(C511)</f>
        <v>2025</v>
      </c>
      <c r="AD511" t="str">
        <f>IF(X511&lt;0, "Invalid: Ship Date Before Order Date", IF(W511&lt;0, "Invalid: Negative Discount", IF(W511&gt;0.5, "Invalid: Exceeds Allowed Discount", "OK")))</f>
        <v>OK</v>
      </c>
    </row>
    <row r="512" spans="1:30">
      <c r="A512" t="s">
        <v>2477</v>
      </c>
      <c r="B512" t="str">
        <f t="shared" si="7"/>
        <v>Unique</v>
      </c>
      <c r="C512" s="3">
        <v>45583</v>
      </c>
      <c r="D512" s="3">
        <v>45586</v>
      </c>
      <c r="E512" t="s">
        <v>2479</v>
      </c>
      <c r="F512" t="s">
        <v>162</v>
      </c>
      <c r="G512" t="s">
        <v>26</v>
      </c>
      <c r="H512" t="s">
        <v>62</v>
      </c>
      <c r="I512" t="s">
        <v>229</v>
      </c>
      <c r="J512" t="s">
        <v>230</v>
      </c>
      <c r="K512" t="s">
        <v>30</v>
      </c>
      <c r="L512" t="s">
        <v>156</v>
      </c>
      <c r="M512" t="s">
        <v>2481</v>
      </c>
      <c r="N512" t="s">
        <v>33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34</v>
      </c>
      <c r="V512" t="s">
        <v>35</v>
      </c>
      <c r="W512">
        <f>IF(ISBLANK(Q512), 0, IFERROR(VALUE(Q512), 0.7))</f>
        <v>0</v>
      </c>
      <c r="X512">
        <f>D512 - C512</f>
        <v>3</v>
      </c>
      <c r="Y512">
        <f>O512 * P512 * (1 - W512)</f>
        <v>8477.02</v>
      </c>
      <c r="Z512">
        <f>Y512 - S512</f>
        <v>1592.0600000000004</v>
      </c>
      <c r="AA512">
        <f>IFERROR(Z512 / Y512, 0)</f>
        <v>0.18780892341884298</v>
      </c>
      <c r="AB512" t="str">
        <f>TEXT(C512, "mmmm")</f>
        <v>October</v>
      </c>
      <c r="AC512">
        <f>YEAR(C512)</f>
        <v>2024</v>
      </c>
      <c r="AD512" t="str">
        <f>IF(X512&lt;0, "Invalid: Ship Date Before Order Date", IF(W512&lt;0, "Invalid: Negative Discount", IF(W512&gt;0.5, "Invalid: Exceeds Allowed Discount", "OK")))</f>
        <v>OK</v>
      </c>
    </row>
    <row r="513" spans="1:30">
      <c r="A513" t="s">
        <v>2482</v>
      </c>
      <c r="B513" t="str">
        <f t="shared" si="7"/>
        <v>Unique</v>
      </c>
      <c r="C513" s="3">
        <v>45588</v>
      </c>
      <c r="D513" s="3">
        <v>45591</v>
      </c>
      <c r="E513" t="s">
        <v>2485</v>
      </c>
      <c r="F513" t="s">
        <v>168</v>
      </c>
      <c r="G513" t="s">
        <v>26</v>
      </c>
      <c r="H513" t="s">
        <v>73</v>
      </c>
      <c r="I513" t="s">
        <v>84</v>
      </c>
      <c r="J513" t="s">
        <v>85</v>
      </c>
      <c r="K513" t="s">
        <v>45</v>
      </c>
      <c r="L513" t="s">
        <v>204</v>
      </c>
      <c r="M513" t="s">
        <v>2486</v>
      </c>
      <c r="N513" t="s">
        <v>67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34</v>
      </c>
      <c r="V513" t="s">
        <v>35</v>
      </c>
      <c r="W513">
        <f>IF(ISBLANK(Q513), 0, IFERROR(VALUE(Q513), 0.7))</f>
        <v>0.25</v>
      </c>
      <c r="X513">
        <f>D513 - C513</f>
        <v>3</v>
      </c>
      <c r="Y513">
        <f>O513 * P513 * (1 - W513)</f>
        <v>3673.8225000000002</v>
      </c>
      <c r="Z513">
        <f>Y513 - S513</f>
        <v>1585.6725000000001</v>
      </c>
      <c r="AA513">
        <f>IFERROR(Z513 / Y513, 0)</f>
        <v>0.43161380278987349</v>
      </c>
      <c r="AB513" t="str">
        <f>TEXT(C513, "mmmm")</f>
        <v>October</v>
      </c>
      <c r="AC513">
        <f>YEAR(C513)</f>
        <v>2024</v>
      </c>
      <c r="AD513" t="str">
        <f>IF(X513&lt;0, "Invalid: Ship Date Before Order Date", IF(W513&lt;0, "Invalid: Negative Discount", IF(W513&gt;0.5, "Invalid: Exceeds Allowed Discount", "OK")))</f>
        <v>OK</v>
      </c>
    </row>
    <row r="514" spans="1:30">
      <c r="A514" t="s">
        <v>2487</v>
      </c>
      <c r="B514" t="str">
        <f t="shared" si="7"/>
        <v>Unique</v>
      </c>
      <c r="C514" s="3">
        <v>45718</v>
      </c>
      <c r="D514" s="3">
        <v>45719</v>
      </c>
      <c r="E514" t="s">
        <v>1900</v>
      </c>
      <c r="F514" t="s">
        <v>53</v>
      </c>
      <c r="G514" t="s">
        <v>108</v>
      </c>
      <c r="H514" t="s">
        <v>62</v>
      </c>
      <c r="I514" t="s">
        <v>242</v>
      </c>
      <c r="J514" t="s">
        <v>243</v>
      </c>
      <c r="K514" t="s">
        <v>30</v>
      </c>
      <c r="L514" t="s">
        <v>109</v>
      </c>
      <c r="M514" t="s">
        <v>2489</v>
      </c>
      <c r="N514" t="s">
        <v>33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34</v>
      </c>
      <c r="V514" t="s">
        <v>35</v>
      </c>
      <c r="W514">
        <f>IF(ISBLANK(Q514), 0, IFERROR(VALUE(Q514), 0.7))</f>
        <v>0.25</v>
      </c>
      <c r="X514">
        <f>D514 - C514</f>
        <v>1</v>
      </c>
      <c r="Y514">
        <f>O514 * P514 * (1 - W514)</f>
        <v>6047.1749999999993</v>
      </c>
      <c r="Z514">
        <f>Y514 - S514</f>
        <v>2678.3849999999993</v>
      </c>
      <c r="AA514">
        <f>IFERROR(Z514 / Y514, 0)</f>
        <v>0.44291508018206843</v>
      </c>
      <c r="AB514" t="str">
        <f>TEXT(C514, "mmmm")</f>
        <v>March</v>
      </c>
      <c r="AC514">
        <f>YEAR(C514)</f>
        <v>2025</v>
      </c>
      <c r="AD514" t="str">
        <f>IF(X514&lt;0, "Invalid: Ship Date Before Order Date", IF(W514&lt;0, "Invalid: Negative Discount", IF(W514&gt;0.5, "Invalid: Exceeds Allowed Discount", "OK")))</f>
        <v>OK</v>
      </c>
    </row>
    <row r="515" spans="1:30">
      <c r="A515" t="s">
        <v>2490</v>
      </c>
      <c r="B515" t="str">
        <f t="shared" ref="B515:B578" si="8">IF(COUNTIF(A:A, A515)&gt;1, "Review: Duplicate Order ID", "Unique")</f>
        <v>Unique</v>
      </c>
      <c r="C515" s="3">
        <v>45835</v>
      </c>
      <c r="D515" s="3">
        <v>45840</v>
      </c>
      <c r="E515" t="s">
        <v>2491</v>
      </c>
      <c r="F515" t="s">
        <v>162</v>
      </c>
      <c r="G515" t="s">
        <v>108</v>
      </c>
      <c r="H515" t="s">
        <v>62</v>
      </c>
      <c r="I515" t="s">
        <v>242</v>
      </c>
      <c r="J515" t="s">
        <v>243</v>
      </c>
      <c r="K515" t="s">
        <v>86</v>
      </c>
      <c r="L515" t="s">
        <v>87</v>
      </c>
      <c r="M515" t="s">
        <v>2492</v>
      </c>
      <c r="N515" t="s">
        <v>56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34</v>
      </c>
      <c r="V515" t="s">
        <v>35</v>
      </c>
      <c r="W515">
        <f>IF(ISBLANK(Q515), 0, IFERROR(VALUE(Q515), 0.7))</f>
        <v>0.1</v>
      </c>
      <c r="X515">
        <f>D515 - C515</f>
        <v>5</v>
      </c>
      <c r="Y515">
        <f>O515 * P515 * (1 - W515)</f>
        <v>5937.246000000001</v>
      </c>
      <c r="Z515">
        <f>Y515 - S515</f>
        <v>1848.786000000001</v>
      </c>
      <c r="AA515">
        <f>IFERROR(Z515 / Y515, 0)</f>
        <v>0.31138780505304997</v>
      </c>
      <c r="AB515" t="str">
        <f>TEXT(C515, "mmmm")</f>
        <v>June</v>
      </c>
      <c r="AC515">
        <f>YEAR(C515)</f>
        <v>2025</v>
      </c>
      <c r="AD515" t="str">
        <f>IF(X515&lt;0, "Invalid: Ship Date Before Order Date", IF(W515&lt;0, "Invalid: Negative Discount", IF(W515&gt;0.5, "Invalid: Exceeds Allowed Discount", "OK")))</f>
        <v>OK</v>
      </c>
    </row>
    <row r="516" spans="1:30">
      <c r="A516" t="s">
        <v>2493</v>
      </c>
      <c r="B516" t="str">
        <f t="shared" si="8"/>
        <v>Unique</v>
      </c>
      <c r="C516" s="3">
        <v>45614</v>
      </c>
      <c r="D516" s="3">
        <v>45618</v>
      </c>
      <c r="E516" t="s">
        <v>2495</v>
      </c>
      <c r="F516" t="s">
        <v>25</v>
      </c>
      <c r="G516" t="s">
        <v>115</v>
      </c>
      <c r="H516" t="s">
        <v>62</v>
      </c>
      <c r="I516" t="s">
        <v>242</v>
      </c>
      <c r="J516" t="s">
        <v>243</v>
      </c>
      <c r="K516" t="s">
        <v>86</v>
      </c>
      <c r="L516" t="s">
        <v>87</v>
      </c>
      <c r="M516" t="s">
        <v>2496</v>
      </c>
      <c r="N516" t="s">
        <v>67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34</v>
      </c>
      <c r="V516" t="s">
        <v>35</v>
      </c>
      <c r="W516">
        <f>IF(ISBLANK(Q516), 0, IFERROR(VALUE(Q516), 0.7))</f>
        <v>0.1</v>
      </c>
      <c r="X516">
        <f>D516 - C516</f>
        <v>4</v>
      </c>
      <c r="Y516">
        <f>O516 * P516 * (1 - W516)</f>
        <v>20913.876</v>
      </c>
      <c r="Z516">
        <f>Y516 - S516</f>
        <v>9229.1959999999999</v>
      </c>
      <c r="AA516">
        <f>IFERROR(Z516 / Y516, 0)</f>
        <v>0.44129533903710627</v>
      </c>
      <c r="AB516" t="str">
        <f>TEXT(C516, "mmmm")</f>
        <v>November</v>
      </c>
      <c r="AC516">
        <f>YEAR(C516)</f>
        <v>2024</v>
      </c>
      <c r="AD516" t="str">
        <f>IF(X516&lt;0, "Invalid: Ship Date Before Order Date", IF(W516&lt;0, "Invalid: Negative Discount", IF(W516&gt;0.5, "Invalid: Exceeds Allowed Discount", "OK")))</f>
        <v>OK</v>
      </c>
    </row>
    <row r="517" spans="1:30">
      <c r="A517" t="s">
        <v>2497</v>
      </c>
      <c r="B517" t="str">
        <f t="shared" si="8"/>
        <v>Unique</v>
      </c>
      <c r="C517" s="3">
        <v>45758</v>
      </c>
      <c r="D517" s="3">
        <v>45758</v>
      </c>
      <c r="E517" t="s">
        <v>2499</v>
      </c>
      <c r="F517" t="s">
        <v>148</v>
      </c>
      <c r="G517" t="s">
        <v>108</v>
      </c>
      <c r="H517" t="s">
        <v>27</v>
      </c>
      <c r="I517" t="s">
        <v>506</v>
      </c>
      <c r="J517" t="s">
        <v>507</v>
      </c>
      <c r="K517" t="s">
        <v>30</v>
      </c>
      <c r="L517" t="s">
        <v>31</v>
      </c>
      <c r="M517" t="s">
        <v>2500</v>
      </c>
      <c r="N517" t="s">
        <v>67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34</v>
      </c>
      <c r="V517" t="s">
        <v>35</v>
      </c>
      <c r="W517">
        <f>IF(ISBLANK(Q517), 0, IFERROR(VALUE(Q517), 0.7))</f>
        <v>-7.0000000000000007E-2</v>
      </c>
      <c r="X517">
        <f>D517 - C517</f>
        <v>0</v>
      </c>
      <c r="Y517">
        <f>O517 * P517 * (1 - W517)</f>
        <v>4770.5843000000004</v>
      </c>
      <c r="Z517">
        <f>Y517 - S517</f>
        <v>2687.1743000000006</v>
      </c>
      <c r="AA517">
        <f>IFERROR(Z517 / Y517, 0)</f>
        <v>0.56327991101635089</v>
      </c>
      <c r="AB517" t="str">
        <f>TEXT(C517, "mmmm")</f>
        <v>April</v>
      </c>
      <c r="AC517">
        <f>YEAR(C517)</f>
        <v>2025</v>
      </c>
      <c r="AD517" t="str">
        <f>IF(X517&lt;0, "Invalid: Ship Date Before Order Date", IF(W517&lt;0, "Invalid: Negative Discount", IF(W517&gt;0.5, "Invalid: Exceeds Allowed Discount", "OK")))</f>
        <v>Invalid: Negative Discount</v>
      </c>
    </row>
    <row r="518" spans="1:30">
      <c r="A518" t="s">
        <v>2501</v>
      </c>
      <c r="B518" t="str">
        <f t="shared" si="8"/>
        <v>Unique</v>
      </c>
      <c r="C518" s="3">
        <v>45563</v>
      </c>
      <c r="D518" s="3">
        <v>45569</v>
      </c>
      <c r="E518" t="s">
        <v>2504</v>
      </c>
      <c r="F518" t="s">
        <v>366</v>
      </c>
      <c r="G518" t="s">
        <v>115</v>
      </c>
      <c r="H518" t="s">
        <v>27</v>
      </c>
      <c r="I518" t="s">
        <v>506</v>
      </c>
      <c r="J518" t="s">
        <v>507</v>
      </c>
      <c r="K518" t="s">
        <v>86</v>
      </c>
      <c r="L518" t="s">
        <v>94</v>
      </c>
      <c r="M518" t="s">
        <v>2505</v>
      </c>
      <c r="N518" t="s">
        <v>67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200</v>
      </c>
      <c r="V518" t="s">
        <v>125</v>
      </c>
      <c r="W518">
        <f>IF(ISBLANK(Q518), 0, IFERROR(VALUE(Q518), 0.7))</f>
        <v>0</v>
      </c>
      <c r="X518">
        <f>D518 - C518</f>
        <v>6</v>
      </c>
      <c r="Y518">
        <f>O518 * P518 * (1 - W518)</f>
        <v>2233.1799999999998</v>
      </c>
      <c r="Z518">
        <f>Y518 - S518</f>
        <v>647.3599999999999</v>
      </c>
      <c r="AA518">
        <f>IFERROR(Z518 / Y518, 0)</f>
        <v>0.28988258895386843</v>
      </c>
      <c r="AB518" t="str">
        <f>TEXT(C518, "mmmm")</f>
        <v>September</v>
      </c>
      <c r="AC518">
        <f>YEAR(C518)</f>
        <v>2024</v>
      </c>
      <c r="AD518" t="str">
        <f>IF(X518&lt;0, "Invalid: Ship Date Before Order Date", IF(W518&lt;0, "Invalid: Negative Discount", IF(W518&gt;0.5, "Invalid: Exceeds Allowed Discount", "OK")))</f>
        <v>OK</v>
      </c>
    </row>
    <row r="519" spans="1:30">
      <c r="A519" t="s">
        <v>2506</v>
      </c>
      <c r="B519" t="str">
        <f t="shared" si="8"/>
        <v>Unique</v>
      </c>
      <c r="C519" s="3">
        <v>45802</v>
      </c>
      <c r="D519" s="3">
        <v>45804</v>
      </c>
      <c r="E519" t="s">
        <v>2508</v>
      </c>
      <c r="F519" t="s">
        <v>148</v>
      </c>
      <c r="G519" t="s">
        <v>26</v>
      </c>
      <c r="H519" t="s">
        <v>42</v>
      </c>
      <c r="I519" t="s">
        <v>43</v>
      </c>
      <c r="J519" t="s">
        <v>44</v>
      </c>
      <c r="K519" t="s">
        <v>45</v>
      </c>
      <c r="L519" t="s">
        <v>65</v>
      </c>
      <c r="M519" t="s">
        <v>2509</v>
      </c>
      <c r="N519" t="s">
        <v>33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124</v>
      </c>
      <c r="V519" t="s">
        <v>125</v>
      </c>
      <c r="W519">
        <f>IF(ISBLANK(Q519), 0, IFERROR(VALUE(Q519), 0.7))</f>
        <v>0.2</v>
      </c>
      <c r="X519">
        <f>D519 - C519</f>
        <v>2</v>
      </c>
      <c r="Y519">
        <f>O519 * P519 * (1 - W519)</f>
        <v>11890.368000000002</v>
      </c>
      <c r="Z519">
        <f>Y519 - S519</f>
        <v>2655.8380000000016</v>
      </c>
      <c r="AA519">
        <f>IFERROR(Z519 / Y519, 0)</f>
        <v>0.22336045444514427</v>
      </c>
      <c r="AB519" t="str">
        <f>TEXT(C519, "mmmm")</f>
        <v>May</v>
      </c>
      <c r="AC519">
        <f>YEAR(C519)</f>
        <v>2025</v>
      </c>
      <c r="AD519" t="str">
        <f>IF(X519&lt;0, "Invalid: Ship Date Before Order Date", IF(W519&lt;0, "Invalid: Negative Discount", IF(W519&gt;0.5, "Invalid: Exceeds Allowed Discount", "OK")))</f>
        <v>OK</v>
      </c>
    </row>
    <row r="520" spans="1:30">
      <c r="A520" t="s">
        <v>2510</v>
      </c>
      <c r="B520" t="str">
        <f t="shared" si="8"/>
        <v>Unique</v>
      </c>
      <c r="C520" s="3">
        <v>45777</v>
      </c>
      <c r="D520" s="3">
        <v>45773</v>
      </c>
      <c r="E520" t="s">
        <v>2512</v>
      </c>
      <c r="F520" t="s">
        <v>210</v>
      </c>
      <c r="G520" t="s">
        <v>108</v>
      </c>
      <c r="H520" t="s">
        <v>42</v>
      </c>
      <c r="I520" t="s">
        <v>43</v>
      </c>
      <c r="J520" t="s">
        <v>44</v>
      </c>
      <c r="K520" t="s">
        <v>45</v>
      </c>
      <c r="L520" t="s">
        <v>46</v>
      </c>
      <c r="M520" t="s">
        <v>2513</v>
      </c>
      <c r="N520" t="s">
        <v>56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34</v>
      </c>
      <c r="V520" t="s">
        <v>78</v>
      </c>
      <c r="W520">
        <f>IF(ISBLANK(Q520), 0, IFERROR(VALUE(Q520), 0.7))</f>
        <v>0.25</v>
      </c>
      <c r="X520">
        <f>D520 - C520</f>
        <v>-4</v>
      </c>
      <c r="Y520">
        <f>O520 * P520 * (1 - W520)</f>
        <v>8421.682499999999</v>
      </c>
      <c r="Z520">
        <f>Y520 - S520</f>
        <v>1887.2124999999987</v>
      </c>
      <c r="AA520">
        <f>IFERROR(Z520 / Y520, 0)</f>
        <v>0.22408972316398759</v>
      </c>
      <c r="AB520" t="str">
        <f>TEXT(C520, "mmmm")</f>
        <v>April</v>
      </c>
      <c r="AC520">
        <f>YEAR(C520)</f>
        <v>2025</v>
      </c>
      <c r="AD520" t="str">
        <f>IF(X520&lt;0, "Invalid: Ship Date Before Order Date", IF(W520&lt;0, "Invalid: Negative Discount", IF(W520&gt;0.5, "Invalid: Exceeds Allowed Discount", "OK")))</f>
        <v>Invalid: Ship Date Before Order Date</v>
      </c>
    </row>
    <row r="521" spans="1:30">
      <c r="A521" t="s">
        <v>2514</v>
      </c>
      <c r="B521" t="str">
        <f t="shared" si="8"/>
        <v>Unique</v>
      </c>
      <c r="C521" s="3">
        <v>45723</v>
      </c>
      <c r="D521" s="3">
        <v>45845</v>
      </c>
      <c r="E521" t="s">
        <v>2516</v>
      </c>
      <c r="F521" t="s">
        <v>142</v>
      </c>
      <c r="G521" t="s">
        <v>26</v>
      </c>
      <c r="H521" t="s">
        <v>27</v>
      </c>
      <c r="I521" t="s">
        <v>174</v>
      </c>
      <c r="J521" t="s">
        <v>175</v>
      </c>
      <c r="K521" t="s">
        <v>45</v>
      </c>
      <c r="L521" t="s">
        <v>46</v>
      </c>
      <c r="M521" t="s">
        <v>2517</v>
      </c>
      <c r="N521" t="s">
        <v>67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137</v>
      </c>
      <c r="V521" t="s">
        <v>78</v>
      </c>
      <c r="W521">
        <f>IF(ISBLANK(Q521), 0, IFERROR(VALUE(Q521), 0.7))</f>
        <v>0.2</v>
      </c>
      <c r="X521">
        <f>D521 - C521</f>
        <v>122</v>
      </c>
      <c r="Y521">
        <f>O521 * P521 * (1 - W521)</f>
        <v>13968.672</v>
      </c>
      <c r="Z521">
        <f>Y521 - S521</f>
        <v>5111.0920000000006</v>
      </c>
      <c r="AA521">
        <f>IFERROR(Z521 / Y521, 0)</f>
        <v>0.36589677243477409</v>
      </c>
      <c r="AB521" t="str">
        <f>TEXT(C521, "mmmm")</f>
        <v>March</v>
      </c>
      <c r="AC521">
        <f>YEAR(C521)</f>
        <v>2025</v>
      </c>
      <c r="AD521" t="str">
        <f>IF(X521&lt;0, "Invalid: Ship Date Before Order Date", IF(W521&lt;0, "Invalid: Negative Discount", IF(W521&gt;0.5, "Invalid: Exceeds Allowed Discount", "OK")))</f>
        <v>OK</v>
      </c>
    </row>
    <row r="522" spans="1:30">
      <c r="A522" t="s">
        <v>2518</v>
      </c>
      <c r="B522" t="str">
        <f t="shared" si="8"/>
        <v>Unique</v>
      </c>
      <c r="C522" s="3">
        <v>45489</v>
      </c>
      <c r="D522" s="3">
        <v>45496</v>
      </c>
      <c r="E522" t="s">
        <v>2520</v>
      </c>
      <c r="F522" t="s">
        <v>162</v>
      </c>
      <c r="G522" t="s">
        <v>115</v>
      </c>
      <c r="H522" t="s">
        <v>62</v>
      </c>
      <c r="I522" t="s">
        <v>229</v>
      </c>
      <c r="J522" t="s">
        <v>230</v>
      </c>
      <c r="K522" t="s">
        <v>86</v>
      </c>
      <c r="L522" t="s">
        <v>382</v>
      </c>
      <c r="M522" t="s">
        <v>2521</v>
      </c>
      <c r="N522" t="s">
        <v>48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34</v>
      </c>
      <c r="V522" t="s">
        <v>35</v>
      </c>
      <c r="W522">
        <f>IF(ISBLANK(Q522), 0, IFERROR(VALUE(Q522), 0.7))</f>
        <v>0.05</v>
      </c>
      <c r="X522">
        <f>D522 - C522</f>
        <v>7</v>
      </c>
      <c r="Y522">
        <f>O522 * P522 * (1 - W522)</f>
        <v>1611.1144999999999</v>
      </c>
      <c r="Z522">
        <f>Y522 - S522</f>
        <v>715.96449999999993</v>
      </c>
      <c r="AA522">
        <f>IFERROR(Z522 / Y522, 0)</f>
        <v>0.44439082386757739</v>
      </c>
      <c r="AB522" t="str">
        <f>TEXT(C522, "mmmm")</f>
        <v>July</v>
      </c>
      <c r="AC522">
        <f>YEAR(C522)</f>
        <v>2024</v>
      </c>
      <c r="AD522" t="str">
        <f>IF(X522&lt;0, "Invalid: Ship Date Before Order Date", IF(W522&lt;0, "Invalid: Negative Discount", IF(W522&gt;0.5, "Invalid: Exceeds Allowed Discount", "OK")))</f>
        <v>OK</v>
      </c>
    </row>
    <row r="523" spans="1:30">
      <c r="A523" t="s">
        <v>2522</v>
      </c>
      <c r="B523" t="str">
        <f t="shared" si="8"/>
        <v>Unique</v>
      </c>
      <c r="C523" s="3">
        <v>45741</v>
      </c>
      <c r="D523" s="3">
        <v>45748</v>
      </c>
      <c r="E523" t="s">
        <v>2525</v>
      </c>
      <c r="F523" t="s">
        <v>210</v>
      </c>
      <c r="G523" t="s">
        <v>26</v>
      </c>
      <c r="H523" t="s">
        <v>27</v>
      </c>
      <c r="I523" t="s">
        <v>154</v>
      </c>
      <c r="J523" t="s">
        <v>155</v>
      </c>
      <c r="K523" t="s">
        <v>30</v>
      </c>
      <c r="L523" t="s">
        <v>109</v>
      </c>
      <c r="M523" t="s">
        <v>2526</v>
      </c>
      <c r="N523" t="s">
        <v>33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34</v>
      </c>
      <c r="V523" t="s">
        <v>35</v>
      </c>
      <c r="W523">
        <f>IF(ISBLANK(Q523), 0, IFERROR(VALUE(Q523), 0.7))</f>
        <v>0.05</v>
      </c>
      <c r="X523">
        <f>D523 - C523</f>
        <v>7</v>
      </c>
      <c r="Y523">
        <f>O523 * P523 * (1 - W523)</f>
        <v>12495.027</v>
      </c>
      <c r="Z523">
        <f>Y523 - S523</f>
        <v>3310.5069999999996</v>
      </c>
      <c r="AA523">
        <f>IFERROR(Z523 / Y523, 0)</f>
        <v>0.26494596610315446</v>
      </c>
      <c r="AB523" t="str">
        <f>TEXT(C523, "mmmm")</f>
        <v>March</v>
      </c>
      <c r="AC523">
        <f>YEAR(C523)</f>
        <v>2025</v>
      </c>
      <c r="AD523" t="str">
        <f>IF(X523&lt;0, "Invalid: Ship Date Before Order Date", IF(W523&lt;0, "Invalid: Negative Discount", IF(W523&gt;0.5, "Invalid: Exceeds Allowed Discount", "OK")))</f>
        <v>OK</v>
      </c>
    </row>
    <row r="524" spans="1:30">
      <c r="A524" t="s">
        <v>2527</v>
      </c>
      <c r="B524" t="str">
        <f t="shared" si="8"/>
        <v>Unique</v>
      </c>
      <c r="C524" s="3">
        <v>45716</v>
      </c>
      <c r="D524" s="3">
        <v>45724</v>
      </c>
      <c r="E524" t="s">
        <v>2529</v>
      </c>
      <c r="F524" t="s">
        <v>93</v>
      </c>
      <c r="G524" t="s">
        <v>41</v>
      </c>
      <c r="H524" t="s">
        <v>42</v>
      </c>
      <c r="I524" t="s">
        <v>311</v>
      </c>
      <c r="J524" t="s">
        <v>312</v>
      </c>
      <c r="K524" t="s">
        <v>86</v>
      </c>
      <c r="L524" t="s">
        <v>223</v>
      </c>
      <c r="M524" t="s">
        <v>2530</v>
      </c>
      <c r="N524" t="s">
        <v>56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34</v>
      </c>
      <c r="V524" t="s">
        <v>35</v>
      </c>
      <c r="W524">
        <f>IF(ISBLANK(Q524), 0, IFERROR(VALUE(Q524), 0.7))</f>
        <v>0</v>
      </c>
      <c r="X524">
        <f>D524 - C524</f>
        <v>8</v>
      </c>
      <c r="Y524">
        <f>O524 * P524 * (1 - W524)</f>
        <v>33034.86</v>
      </c>
      <c r="Z524">
        <f>Y524 - S524</f>
        <v>8495.0299999999988</v>
      </c>
      <c r="AA524">
        <f>IFERROR(Z524 / Y524, 0)</f>
        <v>0.25715350390466307</v>
      </c>
      <c r="AB524" t="str">
        <f>TEXT(C524, "mmmm")</f>
        <v>February</v>
      </c>
      <c r="AC524">
        <f>YEAR(C524)</f>
        <v>2025</v>
      </c>
      <c r="AD524" t="str">
        <f>IF(X524&lt;0, "Invalid: Ship Date Before Order Date", IF(W524&lt;0, "Invalid: Negative Discount", IF(W524&gt;0.5, "Invalid: Exceeds Allowed Discount", "OK")))</f>
        <v>OK</v>
      </c>
    </row>
    <row r="525" spans="1:30">
      <c r="A525" t="s">
        <v>2531</v>
      </c>
      <c r="B525" t="str">
        <f t="shared" si="8"/>
        <v>Unique</v>
      </c>
      <c r="C525" s="3">
        <v>45326</v>
      </c>
      <c r="D525" s="3">
        <v>45385</v>
      </c>
      <c r="E525" t="s">
        <v>2534</v>
      </c>
      <c r="F525" t="s">
        <v>366</v>
      </c>
      <c r="G525" t="s">
        <v>115</v>
      </c>
      <c r="H525" t="s">
        <v>73</v>
      </c>
      <c r="I525" t="s">
        <v>249</v>
      </c>
      <c r="J525" t="s">
        <v>250</v>
      </c>
      <c r="K525" t="s">
        <v>30</v>
      </c>
      <c r="L525" t="s">
        <v>31</v>
      </c>
      <c r="M525" t="s">
        <v>2535</v>
      </c>
      <c r="N525" t="s">
        <v>33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34</v>
      </c>
      <c r="V525" t="s">
        <v>125</v>
      </c>
      <c r="W525">
        <f>IF(ISBLANK(Q525), 0, IFERROR(VALUE(Q525), 0.7))</f>
        <v>0</v>
      </c>
      <c r="X525">
        <f>D525 - C525</f>
        <v>59</v>
      </c>
      <c r="Y525">
        <f>O525 * P525 * (1 - W525)</f>
        <v>5805.26</v>
      </c>
      <c r="Z525">
        <f>Y525 - S525</f>
        <v>1150.9000000000005</v>
      </c>
      <c r="AA525">
        <f>IFERROR(Z525 / Y525, 0)</f>
        <v>0.19825124111581574</v>
      </c>
      <c r="AB525" t="str">
        <f>TEXT(C525, "mmmm")</f>
        <v>February</v>
      </c>
      <c r="AC525">
        <f>YEAR(C525)</f>
        <v>2024</v>
      </c>
      <c r="AD525" t="str">
        <f>IF(X525&lt;0, "Invalid: Ship Date Before Order Date", IF(W525&lt;0, "Invalid: Negative Discount", IF(W525&gt;0.5, "Invalid: Exceeds Allowed Discount", "OK")))</f>
        <v>OK</v>
      </c>
    </row>
    <row r="526" spans="1:30">
      <c r="A526" t="s">
        <v>2536</v>
      </c>
      <c r="B526" t="str">
        <f t="shared" si="8"/>
        <v>Unique</v>
      </c>
      <c r="C526" s="3">
        <v>45626</v>
      </c>
      <c r="D526" s="3">
        <v>45627</v>
      </c>
      <c r="E526" t="s">
        <v>2539</v>
      </c>
      <c r="F526" t="s">
        <v>72</v>
      </c>
      <c r="G526" t="s">
        <v>108</v>
      </c>
      <c r="H526" t="s">
        <v>73</v>
      </c>
      <c r="I526" t="s">
        <v>235</v>
      </c>
      <c r="J526" t="s">
        <v>236</v>
      </c>
      <c r="K526" t="s">
        <v>45</v>
      </c>
      <c r="L526" t="s">
        <v>76</v>
      </c>
      <c r="M526" t="s">
        <v>2540</v>
      </c>
      <c r="N526" t="s">
        <v>56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34</v>
      </c>
      <c r="V526" t="s">
        <v>35</v>
      </c>
      <c r="W526">
        <f>IF(ISBLANK(Q526), 0, IFERROR(VALUE(Q526), 0.7))</f>
        <v>0.1</v>
      </c>
      <c r="X526">
        <f>D526 - C526</f>
        <v>1</v>
      </c>
      <c r="Y526">
        <f>O526 * P526 * (1 - W526)</f>
        <v>34079.616000000002</v>
      </c>
      <c r="Z526">
        <f>Y526 - S526</f>
        <v>12208.226000000002</v>
      </c>
      <c r="AA526">
        <f>IFERROR(Z526 / Y526, 0)</f>
        <v>0.35822663025311091</v>
      </c>
      <c r="AB526" t="str">
        <f>TEXT(C526, "mmmm")</f>
        <v>November</v>
      </c>
      <c r="AC526">
        <f>YEAR(C526)</f>
        <v>2024</v>
      </c>
      <c r="AD526" t="str">
        <f>IF(X526&lt;0, "Invalid: Ship Date Before Order Date", IF(W526&lt;0, "Invalid: Negative Discount", IF(W526&gt;0.5, "Invalid: Exceeds Allowed Discount", "OK")))</f>
        <v>OK</v>
      </c>
    </row>
    <row r="527" spans="1:30">
      <c r="A527" t="s">
        <v>2541</v>
      </c>
      <c r="B527" t="str">
        <f t="shared" si="8"/>
        <v>Unique</v>
      </c>
      <c r="C527" s="3">
        <v>45582</v>
      </c>
      <c r="D527" s="3">
        <v>45582</v>
      </c>
      <c r="E527" t="s">
        <v>2544</v>
      </c>
      <c r="F527" t="s">
        <v>142</v>
      </c>
      <c r="G527" t="s">
        <v>115</v>
      </c>
      <c r="H527" t="s">
        <v>42</v>
      </c>
      <c r="I527" t="s">
        <v>121</v>
      </c>
      <c r="J527" t="s">
        <v>122</v>
      </c>
      <c r="K527" t="s">
        <v>45</v>
      </c>
      <c r="L527" t="s">
        <v>76</v>
      </c>
      <c r="M527" t="s">
        <v>2545</v>
      </c>
      <c r="N527" t="s">
        <v>67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34</v>
      </c>
      <c r="V527" t="s">
        <v>35</v>
      </c>
      <c r="W527">
        <f>IF(ISBLANK(Q527), 0, IFERROR(VALUE(Q527), 0.7))</f>
        <v>0.1</v>
      </c>
      <c r="X527">
        <f>D527 - C527</f>
        <v>0</v>
      </c>
      <c r="Y527">
        <f>O527 * P527 * (1 - W527)</f>
        <v>11359.800000000001</v>
      </c>
      <c r="Z527">
        <f>Y527 - S527</f>
        <v>4297.3600000000015</v>
      </c>
      <c r="AA527">
        <f>IFERROR(Z527 / Y527, 0)</f>
        <v>0.37829539252451638</v>
      </c>
      <c r="AB527" t="str">
        <f>TEXT(C527, "mmmm")</f>
        <v>October</v>
      </c>
      <c r="AC527">
        <f>YEAR(C527)</f>
        <v>2024</v>
      </c>
      <c r="AD527" t="str">
        <f>IF(X527&lt;0, "Invalid: Ship Date Before Order Date", IF(W527&lt;0, "Invalid: Negative Discount", IF(W527&gt;0.5, "Invalid: Exceeds Allowed Discount", "OK")))</f>
        <v>OK</v>
      </c>
    </row>
    <row r="528" spans="1:30">
      <c r="A528" t="s">
        <v>2546</v>
      </c>
      <c r="B528" t="str">
        <f t="shared" si="8"/>
        <v>Unique</v>
      </c>
      <c r="C528" s="3">
        <v>45856</v>
      </c>
      <c r="D528" s="3">
        <v>45859</v>
      </c>
      <c r="E528" t="s">
        <v>2549</v>
      </c>
      <c r="F528" t="s">
        <v>142</v>
      </c>
      <c r="G528" t="s">
        <v>26</v>
      </c>
      <c r="H528" t="s">
        <v>42</v>
      </c>
      <c r="I528" t="s">
        <v>43</v>
      </c>
      <c r="J528" t="s">
        <v>44</v>
      </c>
      <c r="K528" t="s">
        <v>45</v>
      </c>
      <c r="L528" t="s">
        <v>46</v>
      </c>
      <c r="M528" t="s">
        <v>2550</v>
      </c>
      <c r="N528" t="s">
        <v>33</v>
      </c>
      <c r="O528">
        <v>4</v>
      </c>
      <c r="P528">
        <v>284.04000000000002</v>
      </c>
      <c r="R528">
        <v>908.93</v>
      </c>
      <c r="S528">
        <v>572.08000000000004</v>
      </c>
      <c r="T528">
        <v>336.85</v>
      </c>
      <c r="U528" t="s">
        <v>34</v>
      </c>
      <c r="V528" t="s">
        <v>35</v>
      </c>
      <c r="W528">
        <f>IF(ISBLANK(Q528), 0, IFERROR(VALUE(Q528), 0.7))</f>
        <v>0</v>
      </c>
      <c r="X528">
        <f>D528 - C528</f>
        <v>3</v>
      </c>
      <c r="Y528">
        <f>O528 * P528 * (1 - W528)</f>
        <v>1136.1600000000001</v>
      </c>
      <c r="Z528">
        <f>Y528 - S528</f>
        <v>564.08000000000004</v>
      </c>
      <c r="AA528">
        <f>IFERROR(Z528 / Y528, 0)</f>
        <v>0.49647936910294327</v>
      </c>
      <c r="AB528" t="str">
        <f>TEXT(C528, "mmmm")</f>
        <v>July</v>
      </c>
      <c r="AC528">
        <f>YEAR(C528)</f>
        <v>2025</v>
      </c>
      <c r="AD528" t="str">
        <f>IF(X528&lt;0, "Invalid: Ship Date Before Order Date", IF(W528&lt;0, "Invalid: Negative Discount", IF(W528&gt;0.5, "Invalid: Exceeds Allowed Discount", "OK")))</f>
        <v>OK</v>
      </c>
    </row>
    <row r="529" spans="1:30">
      <c r="A529" t="s">
        <v>2551</v>
      </c>
      <c r="B529" t="str">
        <f t="shared" si="8"/>
        <v>Unique</v>
      </c>
      <c r="C529" s="3">
        <v>45667</v>
      </c>
      <c r="D529" s="3">
        <v>45935</v>
      </c>
      <c r="E529" t="s">
        <v>2554</v>
      </c>
      <c r="F529" t="s">
        <v>107</v>
      </c>
      <c r="G529" t="s">
        <v>115</v>
      </c>
      <c r="H529" t="s">
        <v>27</v>
      </c>
      <c r="I529" t="s">
        <v>323</v>
      </c>
      <c r="J529" t="s">
        <v>324</v>
      </c>
      <c r="K529" t="s">
        <v>30</v>
      </c>
      <c r="L529" t="s">
        <v>31</v>
      </c>
      <c r="M529" t="s">
        <v>2555</v>
      </c>
      <c r="N529" t="s">
        <v>56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34</v>
      </c>
      <c r="V529" t="s">
        <v>35</v>
      </c>
      <c r="W529">
        <f>IF(ISBLANK(Q529), 0, IFERROR(VALUE(Q529), 0.7))</f>
        <v>0.15</v>
      </c>
      <c r="X529">
        <f>D529 - C529</f>
        <v>268</v>
      </c>
      <c r="Y529">
        <f>O529 * P529 * (1 - W529)</f>
        <v>13802.13</v>
      </c>
      <c r="Z529">
        <f>Y529 - S529</f>
        <v>3726.1999999999989</v>
      </c>
      <c r="AA529">
        <f>IFERROR(Z529 / Y529, 0)</f>
        <v>0.26997282303528508</v>
      </c>
      <c r="AB529" t="str">
        <f>TEXT(C529, "mmmm")</f>
        <v>January</v>
      </c>
      <c r="AC529">
        <f>YEAR(C529)</f>
        <v>2025</v>
      </c>
      <c r="AD529" t="str">
        <f>IF(X529&lt;0, "Invalid: Ship Date Before Order Date", IF(W529&lt;0, "Invalid: Negative Discount", IF(W529&gt;0.5, "Invalid: Exceeds Allowed Discount", "OK")))</f>
        <v>OK</v>
      </c>
    </row>
    <row r="530" spans="1:30">
      <c r="A530" t="s">
        <v>2556</v>
      </c>
      <c r="B530" t="str">
        <f t="shared" si="8"/>
        <v>Unique</v>
      </c>
      <c r="C530" s="3">
        <v>45572</v>
      </c>
      <c r="D530" s="3">
        <v>45545</v>
      </c>
      <c r="E530" t="s">
        <v>2559</v>
      </c>
      <c r="F530" t="s">
        <v>210</v>
      </c>
      <c r="G530" t="s">
        <v>26</v>
      </c>
      <c r="H530" t="s">
        <v>62</v>
      </c>
      <c r="I530" t="s">
        <v>339</v>
      </c>
      <c r="J530" t="s">
        <v>340</v>
      </c>
      <c r="K530" t="s">
        <v>30</v>
      </c>
      <c r="L530" t="s">
        <v>198</v>
      </c>
      <c r="M530" t="s">
        <v>2560</v>
      </c>
      <c r="N530" t="s">
        <v>67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137</v>
      </c>
      <c r="V530" t="s">
        <v>125</v>
      </c>
      <c r="W530">
        <f>IF(ISBLANK(Q530), 0, IFERROR(VALUE(Q530), 0.7))</f>
        <v>0.05</v>
      </c>
      <c r="X530">
        <f>D530 - C530</f>
        <v>-27</v>
      </c>
      <c r="Y530">
        <f>O530 * P530 * (1 - W530)</f>
        <v>29558.119500000001</v>
      </c>
      <c r="Z530">
        <f>Y530 - S530</f>
        <v>8255.9894999999997</v>
      </c>
      <c r="AA530">
        <f>IFERROR(Z530 / Y530, 0)</f>
        <v>0.27931376013281223</v>
      </c>
      <c r="AB530" t="str">
        <f>TEXT(C530, "mmmm")</f>
        <v>October</v>
      </c>
      <c r="AC530">
        <f>YEAR(C530)</f>
        <v>2024</v>
      </c>
      <c r="AD530" t="str">
        <f>IF(X530&lt;0, "Invalid: Ship Date Before Order Date", IF(W530&lt;0, "Invalid: Negative Discount", IF(W530&gt;0.5, "Invalid: Exceeds Allowed Discount", "OK")))</f>
        <v>Invalid: Ship Date Before Order Date</v>
      </c>
    </row>
    <row r="531" spans="1:30">
      <c r="A531" t="s">
        <v>2561</v>
      </c>
      <c r="B531" t="str">
        <f t="shared" si="8"/>
        <v>Unique</v>
      </c>
      <c r="C531" s="3">
        <v>45328</v>
      </c>
      <c r="D531" s="3">
        <v>45330</v>
      </c>
      <c r="E531" t="s">
        <v>1110</v>
      </c>
      <c r="F531" t="s">
        <v>25</v>
      </c>
      <c r="G531" t="s">
        <v>26</v>
      </c>
      <c r="H531" t="s">
        <v>42</v>
      </c>
      <c r="I531" t="s">
        <v>311</v>
      </c>
      <c r="J531" t="s">
        <v>312</v>
      </c>
      <c r="K531" t="s">
        <v>45</v>
      </c>
      <c r="L531" t="s">
        <v>204</v>
      </c>
      <c r="M531" t="s">
        <v>2563</v>
      </c>
      <c r="N531" t="s">
        <v>33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34</v>
      </c>
      <c r="V531" t="s">
        <v>35</v>
      </c>
      <c r="W531">
        <f>IF(ISBLANK(Q531), 0, IFERROR(VALUE(Q531), 0.7))</f>
        <v>0</v>
      </c>
      <c r="X531">
        <f>D531 - C531</f>
        <v>2</v>
      </c>
      <c r="Y531">
        <f>O531 * P531 * (1 - W531)</f>
        <v>16400.25</v>
      </c>
      <c r="Z531">
        <f>Y531 - S531</f>
        <v>4253.2900000000009</v>
      </c>
      <c r="AA531">
        <f>IFERROR(Z531 / Y531, 0)</f>
        <v>0.25934299782015524</v>
      </c>
      <c r="AB531" t="str">
        <f>TEXT(C531, "mmmm")</f>
        <v>February</v>
      </c>
      <c r="AC531">
        <f>YEAR(C531)</f>
        <v>2024</v>
      </c>
      <c r="AD531" t="str">
        <f>IF(X531&lt;0, "Invalid: Ship Date Before Order Date", IF(W531&lt;0, "Invalid: Negative Discount", IF(W531&gt;0.5, "Invalid: Exceeds Allowed Discount", "OK")))</f>
        <v>OK</v>
      </c>
    </row>
    <row r="532" spans="1:30">
      <c r="A532" t="s">
        <v>2564</v>
      </c>
      <c r="B532" t="str">
        <f t="shared" si="8"/>
        <v>Unique</v>
      </c>
      <c r="C532" s="3">
        <v>45807</v>
      </c>
      <c r="D532" s="3">
        <v>45809</v>
      </c>
      <c r="E532" t="s">
        <v>2567</v>
      </c>
      <c r="F532" t="s">
        <v>148</v>
      </c>
      <c r="G532" t="s">
        <v>115</v>
      </c>
      <c r="H532" t="s">
        <v>62</v>
      </c>
      <c r="I532" t="s">
        <v>339</v>
      </c>
      <c r="J532" t="s">
        <v>340</v>
      </c>
      <c r="K532" t="s">
        <v>30</v>
      </c>
      <c r="L532" t="s">
        <v>198</v>
      </c>
      <c r="M532" t="s">
        <v>2568</v>
      </c>
      <c r="N532" t="s">
        <v>67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34</v>
      </c>
      <c r="V532" t="s">
        <v>35</v>
      </c>
      <c r="W532">
        <f>IF(ISBLANK(Q532), 0, IFERROR(VALUE(Q532), 0.7))</f>
        <v>0.05</v>
      </c>
      <c r="X532">
        <f>D532 - C532</f>
        <v>2</v>
      </c>
      <c r="Y532">
        <f>O532 * P532 * (1 - W532)</f>
        <v>17053.0605</v>
      </c>
      <c r="Z532">
        <f>Y532 - S532</f>
        <v>6310.6805000000004</v>
      </c>
      <c r="AA532">
        <f>IFERROR(Z532 / Y532, 0)</f>
        <v>0.37006146198801093</v>
      </c>
      <c r="AB532" t="str">
        <f>TEXT(C532, "mmmm")</f>
        <v>May</v>
      </c>
      <c r="AC532">
        <f>YEAR(C532)</f>
        <v>2025</v>
      </c>
      <c r="AD532" t="str">
        <f>IF(X532&lt;0, "Invalid: Ship Date Before Order Date", IF(W532&lt;0, "Invalid: Negative Discount", IF(W532&gt;0.5, "Invalid: Exceeds Allowed Discount", "OK")))</f>
        <v>OK</v>
      </c>
    </row>
    <row r="533" spans="1:30">
      <c r="A533" t="s">
        <v>2569</v>
      </c>
      <c r="B533" t="str">
        <f t="shared" si="8"/>
        <v>Unique</v>
      </c>
      <c r="C533" s="3">
        <v>45505</v>
      </c>
      <c r="D533" s="3">
        <v>45512</v>
      </c>
      <c r="E533" t="s">
        <v>2571</v>
      </c>
      <c r="F533" t="s">
        <v>210</v>
      </c>
      <c r="G533" t="s">
        <v>41</v>
      </c>
      <c r="H533" t="s">
        <v>73</v>
      </c>
      <c r="I533" t="s">
        <v>74</v>
      </c>
      <c r="J533" t="s">
        <v>75</v>
      </c>
      <c r="K533" t="s">
        <v>30</v>
      </c>
      <c r="L533" t="s">
        <v>156</v>
      </c>
      <c r="M533" t="s">
        <v>2572</v>
      </c>
      <c r="N533" t="s">
        <v>4110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34</v>
      </c>
      <c r="V533" t="s">
        <v>35</v>
      </c>
      <c r="W533">
        <f>IF(ISBLANK(Q533), 0, IFERROR(VALUE(Q533), 0.7))</f>
        <v>0.1</v>
      </c>
      <c r="X533">
        <f>D533 - C533</f>
        <v>7</v>
      </c>
      <c r="Y533">
        <f>O533 * P533 * (1 - W533)</f>
        <v>398.67300000000006</v>
      </c>
      <c r="Z533">
        <f>Y533 - S533</f>
        <v>87.013000000000034</v>
      </c>
      <c r="AA533">
        <f>IFERROR(Z533 / Y533, 0)</f>
        <v>0.21825656615822997</v>
      </c>
      <c r="AB533" t="str">
        <f>TEXT(C533, "mmmm")</f>
        <v>August</v>
      </c>
      <c r="AC533">
        <f>YEAR(C533)</f>
        <v>2024</v>
      </c>
      <c r="AD533" t="str">
        <f>IF(X533&lt;0, "Invalid: Ship Date Before Order Date", IF(W533&lt;0, "Invalid: Negative Discount", IF(W533&gt;0.5, "Invalid: Exceeds Allowed Discount", "OK")))</f>
        <v>OK</v>
      </c>
    </row>
    <row r="534" spans="1:30">
      <c r="A534" t="s">
        <v>2573</v>
      </c>
      <c r="B534" t="str">
        <f t="shared" si="8"/>
        <v>Unique</v>
      </c>
      <c r="C534" s="3">
        <v>45935</v>
      </c>
      <c r="D534" s="3">
        <v>45940</v>
      </c>
      <c r="E534" t="s">
        <v>2574</v>
      </c>
      <c r="F534" t="s">
        <v>142</v>
      </c>
      <c r="G534" t="s">
        <v>108</v>
      </c>
      <c r="H534" t="s">
        <v>42</v>
      </c>
      <c r="I534" t="s">
        <v>216</v>
      </c>
      <c r="J534" t="s">
        <v>217</v>
      </c>
      <c r="K534" t="s">
        <v>45</v>
      </c>
      <c r="L534" t="s">
        <v>46</v>
      </c>
      <c r="M534" t="s">
        <v>2575</v>
      </c>
      <c r="N534" t="s">
        <v>33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200</v>
      </c>
      <c r="V534" t="s">
        <v>78</v>
      </c>
      <c r="W534">
        <f>IF(ISBLANK(Q534), 0, IFERROR(VALUE(Q534), 0.7))</f>
        <v>0.05</v>
      </c>
      <c r="X534">
        <f>D534 - C534</f>
        <v>5</v>
      </c>
      <c r="Y534">
        <f>O534 * P534 * (1 - W534)</f>
        <v>17862.146999999997</v>
      </c>
      <c r="Z534">
        <f>Y534 - S534</f>
        <v>7969.9369999999981</v>
      </c>
      <c r="AA534">
        <f>IFERROR(Z534 / Y534, 0)</f>
        <v>0.44619143488182017</v>
      </c>
      <c r="AB534" t="str">
        <f>TEXT(C534, "mmmm")</f>
        <v>October</v>
      </c>
      <c r="AC534">
        <f>YEAR(C534)</f>
        <v>2025</v>
      </c>
      <c r="AD534" t="str">
        <f>IF(X534&lt;0, "Invalid: Ship Date Before Order Date", IF(W534&lt;0, "Invalid: Negative Discount", IF(W534&gt;0.5, "Invalid: Exceeds Allowed Discount", "OK")))</f>
        <v>OK</v>
      </c>
    </row>
    <row r="535" spans="1:30">
      <c r="A535" t="s">
        <v>2576</v>
      </c>
      <c r="B535" t="str">
        <f t="shared" si="8"/>
        <v>Unique</v>
      </c>
      <c r="C535" s="3">
        <v>45529</v>
      </c>
      <c r="D535" s="3">
        <v>45536</v>
      </c>
      <c r="E535" t="s">
        <v>2578</v>
      </c>
      <c r="F535" t="s">
        <v>53</v>
      </c>
      <c r="G535" t="s">
        <v>115</v>
      </c>
      <c r="H535" t="s">
        <v>27</v>
      </c>
      <c r="I535" t="s">
        <v>28</v>
      </c>
      <c r="J535" t="s">
        <v>29</v>
      </c>
      <c r="K535" t="s">
        <v>45</v>
      </c>
      <c r="L535" t="s">
        <v>46</v>
      </c>
      <c r="M535" t="s">
        <v>2579</v>
      </c>
      <c r="N535" t="s">
        <v>48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34</v>
      </c>
      <c r="V535" t="s">
        <v>35</v>
      </c>
      <c r="W535">
        <f>IF(ISBLANK(Q535), 0, IFERROR(VALUE(Q535), 0.7))</f>
        <v>0.25</v>
      </c>
      <c r="X535">
        <f>D535 - C535</f>
        <v>7</v>
      </c>
      <c r="Y535">
        <f>O535 * P535 * (1 - W535)</f>
        <v>2165.8500000000004</v>
      </c>
      <c r="Z535">
        <f>Y535 - S535</f>
        <v>41.370000000000346</v>
      </c>
      <c r="AA535">
        <f>IFERROR(Z535 / Y535, 0)</f>
        <v>1.91010457787937E-2</v>
      </c>
      <c r="AB535" t="str">
        <f>TEXT(C535, "mmmm")</f>
        <v>August</v>
      </c>
      <c r="AC535">
        <f>YEAR(C535)</f>
        <v>2024</v>
      </c>
      <c r="AD535" t="str">
        <f>IF(X535&lt;0, "Invalid: Ship Date Before Order Date", IF(W535&lt;0, "Invalid: Negative Discount", IF(W535&gt;0.5, "Invalid: Exceeds Allowed Discount", "OK")))</f>
        <v>OK</v>
      </c>
    </row>
    <row r="536" spans="1:30">
      <c r="A536" t="s">
        <v>2580</v>
      </c>
      <c r="B536" t="str">
        <f t="shared" si="8"/>
        <v>Unique</v>
      </c>
      <c r="C536" s="3">
        <v>45774</v>
      </c>
      <c r="D536" s="3">
        <v>45782</v>
      </c>
      <c r="E536" t="s">
        <v>2583</v>
      </c>
      <c r="F536" t="s">
        <v>180</v>
      </c>
      <c r="G536" t="s">
        <v>115</v>
      </c>
      <c r="H536" t="s">
        <v>42</v>
      </c>
      <c r="I536" t="s">
        <v>186</v>
      </c>
      <c r="J536" t="s">
        <v>187</v>
      </c>
      <c r="K536" t="s">
        <v>86</v>
      </c>
      <c r="L536" t="s">
        <v>87</v>
      </c>
      <c r="M536" t="s">
        <v>2584</v>
      </c>
      <c r="N536" t="s">
        <v>33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137</v>
      </c>
      <c r="V536" t="s">
        <v>125</v>
      </c>
      <c r="W536">
        <f>IF(ISBLANK(Q536), 0, IFERROR(VALUE(Q536), 0.7))</f>
        <v>0.1</v>
      </c>
      <c r="X536">
        <f>D536 - C536</f>
        <v>8</v>
      </c>
      <c r="Y536">
        <f>O536 * P536 * (1 - W536)</f>
        <v>14268.204</v>
      </c>
      <c r="Z536">
        <f>Y536 - S536</f>
        <v>2562.9040000000005</v>
      </c>
      <c r="AA536">
        <f>IFERROR(Z536 / Y536, 0)</f>
        <v>0.17962344805274724</v>
      </c>
      <c r="AB536" t="str">
        <f>TEXT(C536, "mmmm")</f>
        <v>April</v>
      </c>
      <c r="AC536">
        <f>YEAR(C536)</f>
        <v>2025</v>
      </c>
      <c r="AD536" t="str">
        <f>IF(X536&lt;0, "Invalid: Ship Date Before Order Date", IF(W536&lt;0, "Invalid: Negative Discount", IF(W536&gt;0.5, "Invalid: Exceeds Allowed Discount", "OK")))</f>
        <v>OK</v>
      </c>
    </row>
    <row r="537" spans="1:30">
      <c r="A537" t="s">
        <v>2585</v>
      </c>
      <c r="B537" t="str">
        <f t="shared" si="8"/>
        <v>Unique</v>
      </c>
      <c r="C537" s="3">
        <v>45431</v>
      </c>
      <c r="D537" s="3">
        <v>45433</v>
      </c>
      <c r="E537" t="s">
        <v>2588</v>
      </c>
      <c r="F537" t="s">
        <v>210</v>
      </c>
      <c r="G537" t="s">
        <v>41</v>
      </c>
      <c r="H537" t="s">
        <v>73</v>
      </c>
      <c r="I537" t="s">
        <v>74</v>
      </c>
      <c r="J537" t="s">
        <v>75</v>
      </c>
      <c r="K537" t="s">
        <v>86</v>
      </c>
      <c r="L537" t="s">
        <v>94</v>
      </c>
      <c r="M537" t="s">
        <v>2589</v>
      </c>
      <c r="N537" t="s">
        <v>56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34</v>
      </c>
      <c r="V537" t="s">
        <v>35</v>
      </c>
      <c r="W537">
        <f>IF(ISBLANK(Q537), 0, IFERROR(VALUE(Q537), 0.7))</f>
        <v>0.2</v>
      </c>
      <c r="X537">
        <f>D537 - C537</f>
        <v>2</v>
      </c>
      <c r="Y537">
        <f>O537 * P537 * (1 - W537)</f>
        <v>9602.3520000000008</v>
      </c>
      <c r="Z537">
        <f>Y537 - S537</f>
        <v>2214.7820000000011</v>
      </c>
      <c r="AA537">
        <f>IFERROR(Z537 / Y537, 0)</f>
        <v>0.23064994909580494</v>
      </c>
      <c r="AB537" t="str">
        <f>TEXT(C537, "mmmm")</f>
        <v>May</v>
      </c>
      <c r="AC537">
        <f>YEAR(C537)</f>
        <v>2024</v>
      </c>
      <c r="AD537" t="str">
        <f>IF(X537&lt;0, "Invalid: Ship Date Before Order Date", IF(W537&lt;0, "Invalid: Negative Discount", IF(W537&gt;0.5, "Invalid: Exceeds Allowed Discount", "OK")))</f>
        <v>OK</v>
      </c>
    </row>
    <row r="538" spans="1:30">
      <c r="A538" t="s">
        <v>2590</v>
      </c>
      <c r="B538" t="str">
        <f t="shared" si="8"/>
        <v>Unique</v>
      </c>
      <c r="C538" s="3">
        <v>45757</v>
      </c>
      <c r="D538" s="3">
        <v>45764</v>
      </c>
      <c r="E538" t="s">
        <v>2593</v>
      </c>
      <c r="F538" t="s">
        <v>72</v>
      </c>
      <c r="G538" t="s">
        <v>41</v>
      </c>
      <c r="H538" t="s">
        <v>73</v>
      </c>
      <c r="I538" t="s">
        <v>28</v>
      </c>
      <c r="J538" t="s">
        <v>135</v>
      </c>
      <c r="K538" t="s">
        <v>45</v>
      </c>
      <c r="L538" t="s">
        <v>76</v>
      </c>
      <c r="M538" t="s">
        <v>2594</v>
      </c>
      <c r="N538" t="s">
        <v>56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200</v>
      </c>
      <c r="V538" t="s">
        <v>78</v>
      </c>
      <c r="W538">
        <f>IF(ISBLANK(Q538), 0, IFERROR(VALUE(Q538), 0.7))</f>
        <v>0.25</v>
      </c>
      <c r="X538">
        <f>D538 - C538</f>
        <v>7</v>
      </c>
      <c r="Y538">
        <f>O538 * P538 * (1 - W538)</f>
        <v>19891.724999999999</v>
      </c>
      <c r="Z538">
        <f>Y538 - S538</f>
        <v>7595.9649999999983</v>
      </c>
      <c r="AA538">
        <f>IFERROR(Z538 / Y538, 0)</f>
        <v>0.38186557475533162</v>
      </c>
      <c r="AB538" t="str">
        <f>TEXT(C538, "mmmm")</f>
        <v>April</v>
      </c>
      <c r="AC538">
        <f>YEAR(C538)</f>
        <v>2025</v>
      </c>
      <c r="AD538" t="str">
        <f>IF(X538&lt;0, "Invalid: Ship Date Before Order Date", IF(W538&lt;0, "Invalid: Negative Discount", IF(W538&gt;0.5, "Invalid: Exceeds Allowed Discount", "OK")))</f>
        <v>OK</v>
      </c>
    </row>
    <row r="539" spans="1:30">
      <c r="A539" t="s">
        <v>2595</v>
      </c>
      <c r="B539" t="str">
        <f t="shared" si="8"/>
        <v>Unique</v>
      </c>
      <c r="C539" s="3">
        <v>45313</v>
      </c>
      <c r="D539" s="3">
        <v>45321</v>
      </c>
      <c r="E539" t="s">
        <v>2597</v>
      </c>
      <c r="F539" t="s">
        <v>72</v>
      </c>
      <c r="G539" t="s">
        <v>41</v>
      </c>
      <c r="H539" t="s">
        <v>27</v>
      </c>
      <c r="I539" t="s">
        <v>323</v>
      </c>
      <c r="J539" t="s">
        <v>324</v>
      </c>
      <c r="K539" t="s">
        <v>30</v>
      </c>
      <c r="L539" t="s">
        <v>54</v>
      </c>
      <c r="M539" t="s">
        <v>2598</v>
      </c>
      <c r="N539" t="s">
        <v>48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200</v>
      </c>
      <c r="V539" t="s">
        <v>78</v>
      </c>
      <c r="W539">
        <f>IF(ISBLANK(Q539), 0, IFERROR(VALUE(Q539), 0.7))</f>
        <v>0.05</v>
      </c>
      <c r="X539">
        <f>D539 - C539</f>
        <v>8</v>
      </c>
      <c r="Y539">
        <f>O539 * P539 * (1 - W539)</f>
        <v>1927.6545000000001</v>
      </c>
      <c r="Z539">
        <f>Y539 - S539</f>
        <v>467.05450000000019</v>
      </c>
      <c r="AA539">
        <f>IFERROR(Z539 / Y539, 0)</f>
        <v>0.24229160360427668</v>
      </c>
      <c r="AB539" t="str">
        <f>TEXT(C539, "mmmm")</f>
        <v>January</v>
      </c>
      <c r="AC539">
        <f>YEAR(C539)</f>
        <v>2024</v>
      </c>
      <c r="AD539" t="str">
        <f>IF(X539&lt;0, "Invalid: Ship Date Before Order Date", IF(W539&lt;0, "Invalid: Negative Discount", IF(W539&gt;0.5, "Invalid: Exceeds Allowed Discount", "OK")))</f>
        <v>OK</v>
      </c>
    </row>
    <row r="540" spans="1:30">
      <c r="A540" t="s">
        <v>2599</v>
      </c>
      <c r="B540" t="str">
        <f t="shared" si="8"/>
        <v>Unique</v>
      </c>
      <c r="C540" s="3">
        <v>45560</v>
      </c>
      <c r="D540" s="3">
        <v>45301</v>
      </c>
      <c r="E540" t="s">
        <v>2601</v>
      </c>
      <c r="F540" t="s">
        <v>210</v>
      </c>
      <c r="G540" t="s">
        <v>41</v>
      </c>
      <c r="H540" t="s">
        <v>42</v>
      </c>
      <c r="I540" t="s">
        <v>311</v>
      </c>
      <c r="J540" t="s">
        <v>312</v>
      </c>
      <c r="K540" t="s">
        <v>45</v>
      </c>
      <c r="L540" t="s">
        <v>46</v>
      </c>
      <c r="M540" t="s">
        <v>2602</v>
      </c>
      <c r="N540" t="s">
        <v>33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34</v>
      </c>
      <c r="V540" t="s">
        <v>35</v>
      </c>
      <c r="W540">
        <f>IF(ISBLANK(Q540), 0, IFERROR(VALUE(Q540), 0.7))</f>
        <v>0.15</v>
      </c>
      <c r="X540">
        <f>D540 - C540</f>
        <v>-259</v>
      </c>
      <c r="Y540">
        <f>O540 * P540 * (1 - W540)</f>
        <v>29900.79</v>
      </c>
      <c r="Z540">
        <f>Y540 - S540</f>
        <v>5250.1200000000026</v>
      </c>
      <c r="AA540">
        <f>IFERROR(Z540 / Y540, 0)</f>
        <v>0.17558465846554563</v>
      </c>
      <c r="AB540" t="str">
        <f>TEXT(C540, "mmmm")</f>
        <v>September</v>
      </c>
      <c r="AC540">
        <f>YEAR(C540)</f>
        <v>2024</v>
      </c>
      <c r="AD540" t="str">
        <f>IF(X540&lt;0, "Invalid: Ship Date Before Order Date", IF(W540&lt;0, "Invalid: Negative Discount", IF(W540&gt;0.5, "Invalid: Exceeds Allowed Discount", "OK")))</f>
        <v>Invalid: Ship Date Before Order Date</v>
      </c>
    </row>
    <row r="541" spans="1:30">
      <c r="A541" t="s">
        <v>2603</v>
      </c>
      <c r="B541" t="str">
        <f t="shared" si="8"/>
        <v>Unique</v>
      </c>
      <c r="C541" s="3">
        <v>45842</v>
      </c>
      <c r="D541" s="3">
        <v>45842</v>
      </c>
      <c r="E541" t="s">
        <v>2604</v>
      </c>
      <c r="F541" t="s">
        <v>40</v>
      </c>
      <c r="G541" t="s">
        <v>41</v>
      </c>
      <c r="H541" t="s">
        <v>62</v>
      </c>
      <c r="I541" t="s">
        <v>339</v>
      </c>
      <c r="J541" t="s">
        <v>340</v>
      </c>
      <c r="K541" t="s">
        <v>45</v>
      </c>
      <c r="L541" t="s">
        <v>76</v>
      </c>
      <c r="M541" t="s">
        <v>2606</v>
      </c>
      <c r="N541" t="s">
        <v>67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34</v>
      </c>
      <c r="V541" t="s">
        <v>78</v>
      </c>
      <c r="W541">
        <f>IF(ISBLANK(Q541), 0, IFERROR(VALUE(Q541), 0.7))</f>
        <v>0.1</v>
      </c>
      <c r="X541">
        <f>D541 - C541</f>
        <v>0</v>
      </c>
      <c r="Y541">
        <f>O541 * P541 * (1 - W541)</f>
        <v>1904.4450000000002</v>
      </c>
      <c r="Z541">
        <f>Y541 - S541</f>
        <v>587.9050000000002</v>
      </c>
      <c r="AA541">
        <f>IFERROR(Z541 / Y541, 0)</f>
        <v>0.30870148520960183</v>
      </c>
      <c r="AB541" t="str">
        <f>TEXT(C541, "mmmm")</f>
        <v>July</v>
      </c>
      <c r="AC541">
        <f>YEAR(C541)</f>
        <v>2025</v>
      </c>
      <c r="AD541" t="str">
        <f>IF(X541&lt;0, "Invalid: Ship Date Before Order Date", IF(W541&lt;0, "Invalid: Negative Discount", IF(W541&gt;0.5, "Invalid: Exceeds Allowed Discount", "OK")))</f>
        <v>OK</v>
      </c>
    </row>
    <row r="542" spans="1:30">
      <c r="A542" t="s">
        <v>2607</v>
      </c>
      <c r="B542" t="str">
        <f t="shared" si="8"/>
        <v>Unique</v>
      </c>
      <c r="C542" s="3">
        <v>45348</v>
      </c>
      <c r="D542" s="3">
        <v>45345</v>
      </c>
      <c r="E542" t="s">
        <v>2609</v>
      </c>
      <c r="F542" t="s">
        <v>366</v>
      </c>
      <c r="G542" t="s">
        <v>26</v>
      </c>
      <c r="H542" t="s">
        <v>73</v>
      </c>
      <c r="I542" t="s">
        <v>235</v>
      </c>
      <c r="J542" t="s">
        <v>236</v>
      </c>
      <c r="K542" t="s">
        <v>45</v>
      </c>
      <c r="L542" t="s">
        <v>65</v>
      </c>
      <c r="M542" t="s">
        <v>2610</v>
      </c>
      <c r="N542" t="s">
        <v>67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34</v>
      </c>
      <c r="V542" t="s">
        <v>35</v>
      </c>
      <c r="W542">
        <f>IF(ISBLANK(Q542), 0, IFERROR(VALUE(Q542), 0.7))</f>
        <v>0.2</v>
      </c>
      <c r="X542">
        <f>D542 - C542</f>
        <v>-3</v>
      </c>
      <c r="Y542">
        <f>O542 * P542 * (1 - W542)</f>
        <v>21571.592000000004</v>
      </c>
      <c r="Z542">
        <f>Y542 - S542</f>
        <v>4453.5220000000045</v>
      </c>
      <c r="AA542">
        <f>IFERROR(Z542 / Y542, 0)</f>
        <v>0.20645309813017063</v>
      </c>
      <c r="AB542" t="str">
        <f>TEXT(C542, "mmmm")</f>
        <v>February</v>
      </c>
      <c r="AC542">
        <f>YEAR(C542)</f>
        <v>2024</v>
      </c>
      <c r="AD542" t="str">
        <f>IF(X542&lt;0, "Invalid: Ship Date Before Order Date", IF(W542&lt;0, "Invalid: Negative Discount", IF(W542&gt;0.5, "Invalid: Exceeds Allowed Discount", "OK")))</f>
        <v>Invalid: Ship Date Before Order Date</v>
      </c>
    </row>
    <row r="543" spans="1:30">
      <c r="A543" t="s">
        <v>2611</v>
      </c>
      <c r="B543" t="str">
        <f t="shared" si="8"/>
        <v>Unique</v>
      </c>
      <c r="C543" s="3">
        <v>45876</v>
      </c>
      <c r="D543" s="3">
        <v>45847</v>
      </c>
      <c r="E543" t="s">
        <v>2614</v>
      </c>
      <c r="F543" t="s">
        <v>168</v>
      </c>
      <c r="G543" t="s">
        <v>26</v>
      </c>
      <c r="H543" t="s">
        <v>73</v>
      </c>
      <c r="I543" t="s">
        <v>74</v>
      </c>
      <c r="J543" t="s">
        <v>75</v>
      </c>
      <c r="K543" t="s">
        <v>86</v>
      </c>
      <c r="L543" t="s">
        <v>94</v>
      </c>
      <c r="M543" t="s">
        <v>2615</v>
      </c>
      <c r="N543" t="s">
        <v>48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34</v>
      </c>
      <c r="V543" t="s">
        <v>125</v>
      </c>
      <c r="W543">
        <f>IF(ISBLANK(Q543), 0, IFERROR(VALUE(Q543), 0.7))</f>
        <v>0</v>
      </c>
      <c r="X543">
        <f>D543 - C543</f>
        <v>-29</v>
      </c>
      <c r="Y543">
        <f>O543 * P543 * (1 - W543)</f>
        <v>8641.68</v>
      </c>
      <c r="Z543">
        <f>Y543 - S543</f>
        <v>2894.59</v>
      </c>
      <c r="AA543">
        <f>IFERROR(Z543 / Y543, 0)</f>
        <v>0.33495686024013849</v>
      </c>
      <c r="AB543" t="str">
        <f>TEXT(C543, "mmmm")</f>
        <v>August</v>
      </c>
      <c r="AC543">
        <f>YEAR(C543)</f>
        <v>2025</v>
      </c>
      <c r="AD543" t="str">
        <f>IF(X543&lt;0, "Invalid: Ship Date Before Order Date", IF(W543&lt;0, "Invalid: Negative Discount", IF(W543&gt;0.5, "Invalid: Exceeds Allowed Discount", "OK")))</f>
        <v>Invalid: Ship Date Before Order Date</v>
      </c>
    </row>
    <row r="544" spans="1:30">
      <c r="A544" t="s">
        <v>2616</v>
      </c>
      <c r="B544" t="str">
        <f t="shared" si="8"/>
        <v>Unique</v>
      </c>
      <c r="C544" s="3">
        <v>45552</v>
      </c>
      <c r="D544" s="3">
        <v>45558</v>
      </c>
      <c r="E544" t="s">
        <v>2619</v>
      </c>
      <c r="F544" t="s">
        <v>148</v>
      </c>
      <c r="G544" t="s">
        <v>115</v>
      </c>
      <c r="H544" t="s">
        <v>62</v>
      </c>
      <c r="I544" t="s">
        <v>242</v>
      </c>
      <c r="J544" t="s">
        <v>243</v>
      </c>
      <c r="K544" t="s">
        <v>45</v>
      </c>
      <c r="L544" t="s">
        <v>204</v>
      </c>
      <c r="M544" t="s">
        <v>2620</v>
      </c>
      <c r="N544" t="s">
        <v>33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34</v>
      </c>
      <c r="V544" t="s">
        <v>78</v>
      </c>
      <c r="W544">
        <f>IF(ISBLANK(Q544), 0, IFERROR(VALUE(Q544), 0.7))</f>
        <v>0.2</v>
      </c>
      <c r="X544">
        <f>D544 - C544</f>
        <v>6</v>
      </c>
      <c r="Y544">
        <f>O544 * P544 * (1 - W544)</f>
        <v>9762.2880000000005</v>
      </c>
      <c r="Z544">
        <f>Y544 - S544</f>
        <v>1394.0480000000007</v>
      </c>
      <c r="AA544">
        <f>IFERROR(Z544 / Y544, 0)</f>
        <v>0.14279931098119628</v>
      </c>
      <c r="AB544" t="str">
        <f>TEXT(C544, "mmmm")</f>
        <v>September</v>
      </c>
      <c r="AC544">
        <f>YEAR(C544)</f>
        <v>2024</v>
      </c>
      <c r="AD544" t="str">
        <f>IF(X544&lt;0, "Invalid: Ship Date Before Order Date", IF(W544&lt;0, "Invalid: Negative Discount", IF(W544&gt;0.5, "Invalid: Exceeds Allowed Discount", "OK")))</f>
        <v>OK</v>
      </c>
    </row>
    <row r="545" spans="1:30">
      <c r="A545" t="s">
        <v>2622</v>
      </c>
      <c r="B545" t="str">
        <f t="shared" si="8"/>
        <v>Unique</v>
      </c>
      <c r="C545" s="3">
        <v>45487</v>
      </c>
      <c r="D545" s="3">
        <v>45493</v>
      </c>
      <c r="E545" t="s">
        <v>2624</v>
      </c>
      <c r="F545" t="s">
        <v>40</v>
      </c>
      <c r="G545" t="s">
        <v>26</v>
      </c>
      <c r="H545" t="s">
        <v>42</v>
      </c>
      <c r="I545" t="s">
        <v>186</v>
      </c>
      <c r="J545" t="s">
        <v>187</v>
      </c>
      <c r="K545" t="s">
        <v>86</v>
      </c>
      <c r="L545" t="s">
        <v>94</v>
      </c>
      <c r="M545" t="s">
        <v>2625</v>
      </c>
      <c r="N545" t="s">
        <v>48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34</v>
      </c>
      <c r="V545" t="s">
        <v>35</v>
      </c>
      <c r="W545">
        <f>IF(ISBLANK(Q545), 0, IFERROR(VALUE(Q545), 0.7))</f>
        <v>0.15</v>
      </c>
      <c r="X545">
        <f>D545 - C545</f>
        <v>6</v>
      </c>
      <c r="Y545">
        <f>O545 * P545 * (1 - W545)</f>
        <v>418.76949999999999</v>
      </c>
      <c r="Z545">
        <f>Y545 - S545</f>
        <v>105.04949999999997</v>
      </c>
      <c r="AA545">
        <f>IFERROR(Z545 / Y545, 0)</f>
        <v>0.25085279610859906</v>
      </c>
      <c r="AB545" t="str">
        <f>TEXT(C545, "mmmm")</f>
        <v>July</v>
      </c>
      <c r="AC545">
        <f>YEAR(C545)</f>
        <v>2024</v>
      </c>
      <c r="AD545" t="str">
        <f>IF(X545&lt;0, "Invalid: Ship Date Before Order Date", IF(W545&lt;0, "Invalid: Negative Discount", IF(W545&gt;0.5, "Invalid: Exceeds Allowed Discount", "OK")))</f>
        <v>OK</v>
      </c>
    </row>
    <row r="546" spans="1:30">
      <c r="A546" t="s">
        <v>2626</v>
      </c>
      <c r="B546" t="str">
        <f t="shared" si="8"/>
        <v>Unique</v>
      </c>
      <c r="C546" s="3">
        <v>45686</v>
      </c>
      <c r="D546" s="3">
        <v>45693</v>
      </c>
      <c r="E546" t="s">
        <v>2628</v>
      </c>
      <c r="F546" t="s">
        <v>72</v>
      </c>
      <c r="G546" t="s">
        <v>26</v>
      </c>
      <c r="H546" t="s">
        <v>62</v>
      </c>
      <c r="I546" t="s">
        <v>242</v>
      </c>
      <c r="J546" t="s">
        <v>243</v>
      </c>
      <c r="K546" t="s">
        <v>30</v>
      </c>
      <c r="L546" t="s">
        <v>54</v>
      </c>
      <c r="M546" t="s">
        <v>2629</v>
      </c>
      <c r="N546" t="s">
        <v>48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34</v>
      </c>
      <c r="V546" t="s">
        <v>78</v>
      </c>
      <c r="W546">
        <f>IF(ISBLANK(Q546), 0, IFERROR(VALUE(Q546), 0.7))</f>
        <v>0.25</v>
      </c>
      <c r="X546">
        <f>D546 - C546</f>
        <v>7</v>
      </c>
      <c r="Y546">
        <f>O546 * P546 * (1 - W546)</f>
        <v>21861.72</v>
      </c>
      <c r="Z546">
        <f>Y546 - S546</f>
        <v>3397.380000000001</v>
      </c>
      <c r="AA546">
        <f>IFERROR(Z546 / Y546, 0)</f>
        <v>0.1554031430280875</v>
      </c>
      <c r="AB546" t="str">
        <f>TEXT(C546, "mmmm")</f>
        <v>January</v>
      </c>
      <c r="AC546">
        <f>YEAR(C546)</f>
        <v>2025</v>
      </c>
      <c r="AD546" t="str">
        <f>IF(X546&lt;0, "Invalid: Ship Date Before Order Date", IF(W546&lt;0, "Invalid: Negative Discount", IF(W546&gt;0.5, "Invalid: Exceeds Allowed Discount", "OK")))</f>
        <v>OK</v>
      </c>
    </row>
    <row r="547" spans="1:30">
      <c r="A547" t="s">
        <v>2630</v>
      </c>
      <c r="B547" t="str">
        <f t="shared" si="8"/>
        <v>Unique</v>
      </c>
      <c r="C547" s="3">
        <v>45439</v>
      </c>
      <c r="D547" s="3">
        <v>45442</v>
      </c>
      <c r="E547" t="s">
        <v>2633</v>
      </c>
      <c r="F547" t="s">
        <v>366</v>
      </c>
      <c r="G547" t="s">
        <v>41</v>
      </c>
      <c r="H547" t="s">
        <v>42</v>
      </c>
      <c r="I547" t="s">
        <v>311</v>
      </c>
      <c r="J547" t="s">
        <v>312</v>
      </c>
      <c r="K547" t="s">
        <v>30</v>
      </c>
      <c r="L547" t="s">
        <v>156</v>
      </c>
      <c r="M547" t="s">
        <v>2634</v>
      </c>
      <c r="N547" t="s">
        <v>48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34</v>
      </c>
      <c r="V547" t="s">
        <v>35</v>
      </c>
      <c r="W547">
        <f>IF(ISBLANK(Q547), 0, IFERROR(VALUE(Q547), 0.7))</f>
        <v>0.15</v>
      </c>
      <c r="X547">
        <f>D547 - C547</f>
        <v>3</v>
      </c>
      <c r="Y547">
        <f>O547 * P547 * (1 - W547)</f>
        <v>17260.116999999998</v>
      </c>
      <c r="Z547">
        <f>Y547 - S547</f>
        <v>3746.6069999999982</v>
      </c>
      <c r="AA547">
        <f>IFERROR(Z547 / Y547, 0)</f>
        <v>0.21706730029697935</v>
      </c>
      <c r="AB547" t="str">
        <f>TEXT(C547, "mmmm")</f>
        <v>May</v>
      </c>
      <c r="AC547">
        <f>YEAR(C547)</f>
        <v>2024</v>
      </c>
      <c r="AD547" t="str">
        <f>IF(X547&lt;0, "Invalid: Ship Date Before Order Date", IF(W547&lt;0, "Invalid: Negative Discount", IF(W547&gt;0.5, "Invalid: Exceeds Allowed Discount", "OK")))</f>
        <v>OK</v>
      </c>
    </row>
    <row r="548" spans="1:30">
      <c r="A548" t="s">
        <v>2635</v>
      </c>
      <c r="B548" t="str">
        <f t="shared" si="8"/>
        <v>Unique</v>
      </c>
      <c r="C548" s="3">
        <v>45883</v>
      </c>
      <c r="D548" s="3">
        <v>45891</v>
      </c>
      <c r="E548" t="s">
        <v>2637</v>
      </c>
      <c r="F548" t="s">
        <v>61</v>
      </c>
      <c r="G548" t="s">
        <v>108</v>
      </c>
      <c r="H548" t="s">
        <v>73</v>
      </c>
      <c r="I548" t="s">
        <v>235</v>
      </c>
      <c r="J548" t="s">
        <v>236</v>
      </c>
      <c r="K548" t="s">
        <v>30</v>
      </c>
      <c r="L548" t="s">
        <v>31</v>
      </c>
      <c r="M548" t="s">
        <v>2639</v>
      </c>
      <c r="N548" t="s">
        <v>56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34</v>
      </c>
      <c r="V548" t="s">
        <v>35</v>
      </c>
      <c r="W548">
        <f>IF(ISBLANK(Q548), 0, IFERROR(VALUE(Q548), 0.7))</f>
        <v>0.15</v>
      </c>
      <c r="X548">
        <f>D548 - C548</f>
        <v>8</v>
      </c>
      <c r="Y548">
        <f>O548 * P548 * (1 - W548)</f>
        <v>10911.322499999998</v>
      </c>
      <c r="Z548">
        <f>Y548 - S548</f>
        <v>3944.8824999999988</v>
      </c>
      <c r="AA548">
        <f>IFERROR(Z548 / Y548, 0)</f>
        <v>0.36154027158486052</v>
      </c>
      <c r="AB548" t="str">
        <f>TEXT(C548, "mmmm")</f>
        <v>August</v>
      </c>
      <c r="AC548">
        <f>YEAR(C548)</f>
        <v>2025</v>
      </c>
      <c r="AD548" t="str">
        <f>IF(X548&lt;0, "Invalid: Ship Date Before Order Date", IF(W548&lt;0, "Invalid: Negative Discount", IF(W548&gt;0.5, "Invalid: Exceeds Allowed Discount", "OK")))</f>
        <v>OK</v>
      </c>
    </row>
    <row r="549" spans="1:30">
      <c r="A549" t="s">
        <v>2640</v>
      </c>
      <c r="B549" t="str">
        <f t="shared" si="8"/>
        <v>Unique</v>
      </c>
      <c r="C549" s="3">
        <v>45428</v>
      </c>
      <c r="D549" s="3">
        <v>45435</v>
      </c>
      <c r="E549" t="s">
        <v>2643</v>
      </c>
      <c r="F549" t="s">
        <v>93</v>
      </c>
      <c r="G549" t="s">
        <v>41</v>
      </c>
      <c r="H549" t="s">
        <v>27</v>
      </c>
      <c r="I549" t="s">
        <v>174</v>
      </c>
      <c r="J549" t="s">
        <v>175</v>
      </c>
      <c r="K549" t="s">
        <v>86</v>
      </c>
      <c r="L549" t="s">
        <v>94</v>
      </c>
      <c r="M549" t="s">
        <v>2644</v>
      </c>
      <c r="N549" t="s">
        <v>67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34</v>
      </c>
      <c r="V549" t="s">
        <v>35</v>
      </c>
      <c r="W549">
        <f>IF(ISBLANK(Q549), 0, IFERROR(VALUE(Q549), 0.7))</f>
        <v>0.1</v>
      </c>
      <c r="X549">
        <f>D549 - C549</f>
        <v>7</v>
      </c>
      <c r="Y549">
        <f>O549 * P549 * (1 - W549)</f>
        <v>30148.929</v>
      </c>
      <c r="Z549">
        <f>Y549 - S549</f>
        <v>4993.8590000000004</v>
      </c>
      <c r="AA549">
        <f>IFERROR(Z549 / Y549, 0)</f>
        <v>0.16563968159532302</v>
      </c>
      <c r="AB549" t="str">
        <f>TEXT(C549, "mmmm")</f>
        <v>May</v>
      </c>
      <c r="AC549">
        <f>YEAR(C549)</f>
        <v>2024</v>
      </c>
      <c r="AD549" t="str">
        <f>IF(X549&lt;0, "Invalid: Ship Date Before Order Date", IF(W549&lt;0, "Invalid: Negative Discount", IF(W549&gt;0.5, "Invalid: Exceeds Allowed Discount", "OK")))</f>
        <v>OK</v>
      </c>
    </row>
    <row r="550" spans="1:30">
      <c r="A550" t="s">
        <v>2645</v>
      </c>
      <c r="B550" t="str">
        <f t="shared" si="8"/>
        <v>Unique</v>
      </c>
      <c r="C550" s="3">
        <v>45441</v>
      </c>
      <c r="D550" s="3">
        <v>45441</v>
      </c>
      <c r="E550" t="s">
        <v>2646</v>
      </c>
      <c r="F550" t="s">
        <v>180</v>
      </c>
      <c r="G550" t="s">
        <v>108</v>
      </c>
      <c r="H550" t="s">
        <v>42</v>
      </c>
      <c r="I550" t="s">
        <v>186</v>
      </c>
      <c r="J550" t="s">
        <v>187</v>
      </c>
      <c r="K550" t="s">
        <v>45</v>
      </c>
      <c r="L550" t="s">
        <v>204</v>
      </c>
      <c r="M550" t="s">
        <v>2647</v>
      </c>
      <c r="N550" t="s">
        <v>48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137</v>
      </c>
      <c r="V550" t="s">
        <v>78</v>
      </c>
      <c r="W550">
        <f>IF(ISBLANK(Q550), 0, IFERROR(VALUE(Q550), 0.7))</f>
        <v>0</v>
      </c>
      <c r="X550">
        <f>D550 - C550</f>
        <v>0</v>
      </c>
      <c r="Y550">
        <f>O550 * P550 * (1 - W550)</f>
        <v>1072.01</v>
      </c>
      <c r="Z550">
        <f>Y550 - S550</f>
        <v>219.39</v>
      </c>
      <c r="AA550">
        <f>IFERROR(Z550 / Y550, 0)</f>
        <v>0.20465294167032022</v>
      </c>
      <c r="AB550" t="str">
        <f>TEXT(C550, "mmmm")</f>
        <v>May</v>
      </c>
      <c r="AC550">
        <f>YEAR(C550)</f>
        <v>2024</v>
      </c>
      <c r="AD550" t="str">
        <f>IF(X550&lt;0, "Invalid: Ship Date Before Order Date", IF(W550&lt;0, "Invalid: Negative Discount", IF(W550&gt;0.5, "Invalid: Exceeds Allowed Discount", "OK")))</f>
        <v>OK</v>
      </c>
    </row>
    <row r="551" spans="1:30">
      <c r="A551" t="s">
        <v>2648</v>
      </c>
      <c r="B551" t="str">
        <f t="shared" si="8"/>
        <v>Unique</v>
      </c>
      <c r="C551" s="3">
        <v>45941</v>
      </c>
      <c r="D551" s="3">
        <v>45943</v>
      </c>
      <c r="E551" t="s">
        <v>2651</v>
      </c>
      <c r="F551" t="s">
        <v>40</v>
      </c>
      <c r="G551" t="s">
        <v>108</v>
      </c>
      <c r="H551" t="s">
        <v>62</v>
      </c>
      <c r="I551" t="s">
        <v>63</v>
      </c>
      <c r="J551" t="s">
        <v>64</v>
      </c>
      <c r="K551" t="s">
        <v>30</v>
      </c>
      <c r="L551" t="s">
        <v>54</v>
      </c>
      <c r="M551" t="s">
        <v>2652</v>
      </c>
      <c r="N551" t="s">
        <v>33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34</v>
      </c>
      <c r="V551" t="s">
        <v>35</v>
      </c>
      <c r="W551">
        <f>IF(ISBLANK(Q551), 0, IFERROR(VALUE(Q551), 0.7))</f>
        <v>0.1</v>
      </c>
      <c r="X551">
        <f>D551 - C551</f>
        <v>2</v>
      </c>
      <c r="Y551">
        <f>O551 * P551 * (1 - W551)</f>
        <v>10271.529</v>
      </c>
      <c r="Z551">
        <f>Y551 - S551</f>
        <v>1999.2890000000007</v>
      </c>
      <c r="AA551">
        <f>IFERROR(Z551 / Y551, 0)</f>
        <v>0.19464375751652949</v>
      </c>
      <c r="AB551" t="str">
        <f>TEXT(C551, "mmmm")</f>
        <v>October</v>
      </c>
      <c r="AC551">
        <f>YEAR(C551)</f>
        <v>2025</v>
      </c>
      <c r="AD551" t="str">
        <f>IF(X551&lt;0, "Invalid: Ship Date Before Order Date", IF(W551&lt;0, "Invalid: Negative Discount", IF(W551&gt;0.5, "Invalid: Exceeds Allowed Discount", "OK")))</f>
        <v>OK</v>
      </c>
    </row>
    <row r="552" spans="1:30">
      <c r="A552" t="s">
        <v>2653</v>
      </c>
      <c r="B552" t="str">
        <f t="shared" si="8"/>
        <v>Unique</v>
      </c>
      <c r="C552" s="3">
        <v>45330</v>
      </c>
      <c r="D552" s="3">
        <v>45514</v>
      </c>
      <c r="E552" t="s">
        <v>2655</v>
      </c>
      <c r="F552" t="s">
        <v>40</v>
      </c>
      <c r="G552" t="s">
        <v>115</v>
      </c>
      <c r="H552" t="s">
        <v>42</v>
      </c>
      <c r="I552" t="s">
        <v>43</v>
      </c>
      <c r="J552" t="s">
        <v>44</v>
      </c>
      <c r="K552" t="s">
        <v>86</v>
      </c>
      <c r="L552" t="s">
        <v>87</v>
      </c>
      <c r="M552" t="s">
        <v>2656</v>
      </c>
      <c r="N552" t="s">
        <v>67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34</v>
      </c>
      <c r="V552" t="s">
        <v>35</v>
      </c>
      <c r="W552">
        <f>IF(ISBLANK(Q552), 0, IFERROR(VALUE(Q552), 0.7))</f>
        <v>0.2</v>
      </c>
      <c r="X552">
        <f>D552 - C552</f>
        <v>184</v>
      </c>
      <c r="Y552">
        <f>O552 * P552 * (1 - W552)</f>
        <v>10206.912</v>
      </c>
      <c r="Z552">
        <f>Y552 - S552</f>
        <v>3442.3820000000005</v>
      </c>
      <c r="AA552">
        <f>IFERROR(Z552 / Y552, 0)</f>
        <v>0.33725988820125036</v>
      </c>
      <c r="AB552" t="str">
        <f>TEXT(C552, "mmmm")</f>
        <v>February</v>
      </c>
      <c r="AC552">
        <f>YEAR(C552)</f>
        <v>2024</v>
      </c>
      <c r="AD552" t="str">
        <f>IF(X552&lt;0, "Invalid: Ship Date Before Order Date", IF(W552&lt;0, "Invalid: Negative Discount", IF(W552&gt;0.5, "Invalid: Exceeds Allowed Discount", "OK")))</f>
        <v>OK</v>
      </c>
    </row>
    <row r="553" spans="1:30">
      <c r="A553" t="s">
        <v>2657</v>
      </c>
      <c r="B553" t="str">
        <f t="shared" si="8"/>
        <v>Unique</v>
      </c>
      <c r="C553" s="3">
        <v>45349</v>
      </c>
      <c r="D553" s="3">
        <v>45349</v>
      </c>
      <c r="E553" t="s">
        <v>2659</v>
      </c>
      <c r="F553" t="s">
        <v>168</v>
      </c>
      <c r="G553" t="s">
        <v>26</v>
      </c>
      <c r="H553" t="s">
        <v>42</v>
      </c>
      <c r="I553" t="s">
        <v>311</v>
      </c>
      <c r="J553" t="s">
        <v>312</v>
      </c>
      <c r="K553" t="s">
        <v>45</v>
      </c>
      <c r="L553" t="s">
        <v>76</v>
      </c>
      <c r="M553" t="s">
        <v>2660</v>
      </c>
      <c r="N553" t="s">
        <v>33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34</v>
      </c>
      <c r="V553" t="s">
        <v>35</v>
      </c>
      <c r="W553">
        <f>IF(ISBLANK(Q553), 0, IFERROR(VALUE(Q553), 0.7))</f>
        <v>0.15</v>
      </c>
      <c r="X553">
        <f>D553 - C553</f>
        <v>0</v>
      </c>
      <c r="Y553">
        <f>O553 * P553 * (1 - W553)</f>
        <v>8027.6295</v>
      </c>
      <c r="Z553">
        <f>Y553 - S553</f>
        <v>2531.5394999999999</v>
      </c>
      <c r="AA553">
        <f>IFERROR(Z553 / Y553, 0)</f>
        <v>0.31535330572991688</v>
      </c>
      <c r="AB553" t="str">
        <f>TEXT(C553, "mmmm")</f>
        <v>February</v>
      </c>
      <c r="AC553">
        <f>YEAR(C553)</f>
        <v>2024</v>
      </c>
      <c r="AD553" t="str">
        <f>IF(X553&lt;0, "Invalid: Ship Date Before Order Date", IF(W553&lt;0, "Invalid: Negative Discount", IF(W553&gt;0.5, "Invalid: Exceeds Allowed Discount", "OK")))</f>
        <v>OK</v>
      </c>
    </row>
    <row r="554" spans="1:30">
      <c r="A554" t="s">
        <v>2661</v>
      </c>
      <c r="B554" t="str">
        <f t="shared" si="8"/>
        <v>Unique</v>
      </c>
      <c r="C554" s="3">
        <v>45681</v>
      </c>
      <c r="D554" s="3">
        <v>45687</v>
      </c>
      <c r="E554" t="s">
        <v>2662</v>
      </c>
      <c r="F554" t="s">
        <v>72</v>
      </c>
      <c r="G554" t="s">
        <v>108</v>
      </c>
      <c r="H554" t="s">
        <v>42</v>
      </c>
      <c r="I554" t="s">
        <v>121</v>
      </c>
      <c r="J554" t="s">
        <v>122</v>
      </c>
      <c r="K554" t="s">
        <v>86</v>
      </c>
      <c r="L554" t="s">
        <v>94</v>
      </c>
      <c r="M554" t="s">
        <v>2663</v>
      </c>
      <c r="N554" t="s">
        <v>67</v>
      </c>
      <c r="O554">
        <v>8</v>
      </c>
      <c r="P554">
        <v>312.52999999999997</v>
      </c>
      <c r="Q554" t="s">
        <v>681</v>
      </c>
      <c r="R554">
        <v>1875.18</v>
      </c>
      <c r="S554">
        <v>1579.17</v>
      </c>
      <c r="T554">
        <v>296.01</v>
      </c>
      <c r="U554" t="s">
        <v>34</v>
      </c>
      <c r="V554" t="s">
        <v>35</v>
      </c>
      <c r="W554">
        <f>IF(ISBLANK(Q554), 0, IFERROR(VALUE(Q554), 0.7))</f>
        <v>0.7</v>
      </c>
      <c r="X554">
        <f>D554 - C554</f>
        <v>6</v>
      </c>
      <c r="Y554">
        <f>O554 * P554 * (1 - W554)</f>
        <v>750.072</v>
      </c>
      <c r="Z554">
        <f>Y554 - S554</f>
        <v>-829.09800000000007</v>
      </c>
      <c r="AA554">
        <f>IFERROR(Z554 / Y554, 0)</f>
        <v>-1.1053578856429784</v>
      </c>
      <c r="AB554" t="str">
        <f>TEXT(C554, "mmmm")</f>
        <v>January</v>
      </c>
      <c r="AC554">
        <f>YEAR(C554)</f>
        <v>2025</v>
      </c>
      <c r="AD554" t="str">
        <f>IF(X554&lt;0, "Invalid: Ship Date Before Order Date", IF(W554&lt;0, "Invalid: Negative Discount", IF(W554&gt;0.5, "Invalid: Exceeds Allowed Discount", "OK")))</f>
        <v>Invalid: Exceeds Allowed Discount</v>
      </c>
    </row>
    <row r="555" spans="1:30">
      <c r="A555" t="s">
        <v>2664</v>
      </c>
      <c r="B555" t="str">
        <f t="shared" si="8"/>
        <v>Unique</v>
      </c>
      <c r="C555" s="3">
        <v>45772</v>
      </c>
      <c r="D555" s="3">
        <v>45775</v>
      </c>
      <c r="E555" t="s">
        <v>2667</v>
      </c>
      <c r="F555" t="s">
        <v>162</v>
      </c>
      <c r="G555" t="s">
        <v>41</v>
      </c>
      <c r="H555" t="s">
        <v>73</v>
      </c>
      <c r="I555" t="s">
        <v>235</v>
      </c>
      <c r="J555" t="s">
        <v>236</v>
      </c>
      <c r="K555" t="s">
        <v>30</v>
      </c>
      <c r="L555" t="s">
        <v>156</v>
      </c>
      <c r="M555" t="s">
        <v>2668</v>
      </c>
      <c r="N555" t="s">
        <v>56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34</v>
      </c>
      <c r="V555" t="s">
        <v>35</v>
      </c>
      <c r="W555">
        <f>IF(ISBLANK(Q555), 0, IFERROR(VALUE(Q555), 0.7))</f>
        <v>0.25</v>
      </c>
      <c r="X555">
        <f>D555 - C555</f>
        <v>3</v>
      </c>
      <c r="Y555">
        <f>O555 * P555 * (1 - W555)</f>
        <v>8735.2425000000003</v>
      </c>
      <c r="Z555">
        <f>Y555 - S555</f>
        <v>2115.1725000000006</v>
      </c>
      <c r="AA555">
        <f>IFERROR(Z555 / Y555, 0)</f>
        <v>0.24214239043735769</v>
      </c>
      <c r="AB555" t="str">
        <f>TEXT(C555, "mmmm")</f>
        <v>April</v>
      </c>
      <c r="AC555">
        <f>YEAR(C555)</f>
        <v>2025</v>
      </c>
      <c r="AD555" t="str">
        <f>IF(X555&lt;0, "Invalid: Ship Date Before Order Date", IF(W555&lt;0, "Invalid: Negative Discount", IF(W555&gt;0.5, "Invalid: Exceeds Allowed Discount", "OK")))</f>
        <v>OK</v>
      </c>
    </row>
    <row r="556" spans="1:30">
      <c r="A556" t="s">
        <v>2669</v>
      </c>
      <c r="B556" t="str">
        <f t="shared" si="8"/>
        <v>Unique</v>
      </c>
      <c r="C556" s="3">
        <v>45577</v>
      </c>
      <c r="D556" s="3">
        <v>45582</v>
      </c>
      <c r="E556" t="s">
        <v>2672</v>
      </c>
      <c r="F556" t="s">
        <v>61</v>
      </c>
      <c r="G556" t="s">
        <v>26</v>
      </c>
      <c r="H556" t="s">
        <v>4110</v>
      </c>
      <c r="I556" t="s">
        <v>311</v>
      </c>
      <c r="J556" t="s">
        <v>312</v>
      </c>
      <c r="K556" t="s">
        <v>45</v>
      </c>
      <c r="L556" t="s">
        <v>65</v>
      </c>
      <c r="M556" t="s">
        <v>2673</v>
      </c>
      <c r="N556" t="s">
        <v>67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34</v>
      </c>
      <c r="V556" t="s">
        <v>35</v>
      </c>
      <c r="W556">
        <f>IF(ISBLANK(Q556), 0, IFERROR(VALUE(Q556), 0.7))</f>
        <v>0.05</v>
      </c>
      <c r="X556">
        <f>D556 - C556</f>
        <v>5</v>
      </c>
      <c r="Y556">
        <f>O556 * P556 * (1 - W556)</f>
        <v>4070.636</v>
      </c>
      <c r="Z556">
        <f>Y556 - S556</f>
        <v>1239.0160000000001</v>
      </c>
      <c r="AA556">
        <f>IFERROR(Z556 / Y556, 0)</f>
        <v>0.30437897173807732</v>
      </c>
      <c r="AB556" t="str">
        <f>TEXT(C556, "mmmm")</f>
        <v>October</v>
      </c>
      <c r="AC556">
        <f>YEAR(C556)</f>
        <v>2024</v>
      </c>
      <c r="AD556" t="str">
        <f>IF(X556&lt;0, "Invalid: Ship Date Before Order Date", IF(W556&lt;0, "Invalid: Negative Discount", IF(W556&gt;0.5, "Invalid: Exceeds Allowed Discount", "OK")))</f>
        <v>OK</v>
      </c>
    </row>
    <row r="557" spans="1:30">
      <c r="A557" t="s">
        <v>2674</v>
      </c>
      <c r="B557" t="str">
        <f t="shared" si="8"/>
        <v>Unique</v>
      </c>
      <c r="C557" s="3">
        <v>45749</v>
      </c>
      <c r="D557" s="3">
        <v>45698</v>
      </c>
      <c r="E557" t="s">
        <v>2676</v>
      </c>
      <c r="F557" t="s">
        <v>72</v>
      </c>
      <c r="G557" t="s">
        <v>41</v>
      </c>
      <c r="H557" t="s">
        <v>62</v>
      </c>
      <c r="I557" t="s">
        <v>63</v>
      </c>
      <c r="J557" t="s">
        <v>64</v>
      </c>
      <c r="K557" t="s">
        <v>30</v>
      </c>
      <c r="L557" t="s">
        <v>156</v>
      </c>
      <c r="M557" t="s">
        <v>2677</v>
      </c>
      <c r="N557" t="s">
        <v>67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34</v>
      </c>
      <c r="V557" t="s">
        <v>35</v>
      </c>
      <c r="W557">
        <f>IF(ISBLANK(Q557), 0, IFERROR(VALUE(Q557), 0.7))</f>
        <v>0.05</v>
      </c>
      <c r="X557">
        <f>D557 - C557</f>
        <v>-51</v>
      </c>
      <c r="Y557">
        <f>O557 * P557 * (1 - W557)</f>
        <v>5943.9599999999991</v>
      </c>
      <c r="Z557">
        <f>Y557 - S557</f>
        <v>2339.8199999999993</v>
      </c>
      <c r="AA557">
        <f>IFERROR(Z557 / Y557, 0)</f>
        <v>0.39364665980255581</v>
      </c>
      <c r="AB557" t="str">
        <f>TEXT(C557, "mmmm")</f>
        <v>April</v>
      </c>
      <c r="AC557">
        <f>YEAR(C557)</f>
        <v>2025</v>
      </c>
      <c r="AD557" t="str">
        <f>IF(X557&lt;0, "Invalid: Ship Date Before Order Date", IF(W557&lt;0, "Invalid: Negative Discount", IF(W557&gt;0.5, "Invalid: Exceeds Allowed Discount", "OK")))</f>
        <v>Invalid: Ship Date Before Order Date</v>
      </c>
    </row>
    <row r="558" spans="1:30">
      <c r="A558" t="s">
        <v>2678</v>
      </c>
      <c r="B558" t="str">
        <f t="shared" si="8"/>
        <v>Unique</v>
      </c>
      <c r="C558" s="3">
        <v>45466</v>
      </c>
      <c r="D558" s="3">
        <v>45472</v>
      </c>
      <c r="E558" t="s">
        <v>2679</v>
      </c>
      <c r="F558" t="s">
        <v>93</v>
      </c>
      <c r="G558" t="s">
        <v>26</v>
      </c>
      <c r="H558" t="s">
        <v>27</v>
      </c>
      <c r="I558" t="s">
        <v>323</v>
      </c>
      <c r="J558" t="s">
        <v>324</v>
      </c>
      <c r="K558" t="s">
        <v>45</v>
      </c>
      <c r="L558" t="s">
        <v>46</v>
      </c>
      <c r="M558" t="s">
        <v>2680</v>
      </c>
      <c r="N558" t="s">
        <v>56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34</v>
      </c>
      <c r="V558" t="s">
        <v>125</v>
      </c>
      <c r="W558">
        <f>IF(ISBLANK(Q558), 0, IFERROR(VALUE(Q558), 0.7))</f>
        <v>0</v>
      </c>
      <c r="X558">
        <f>D558 - C558</f>
        <v>6</v>
      </c>
      <c r="Y558">
        <f>O558 * P558 * (1 - W558)</f>
        <v>4426.66</v>
      </c>
      <c r="Z558">
        <f>Y558 - S558</f>
        <v>1391.46</v>
      </c>
      <c r="AA558">
        <f>IFERROR(Z558 / Y558, 0)</f>
        <v>0.31433631677156143</v>
      </c>
      <c r="AB558" t="str">
        <f>TEXT(C558, "mmmm")</f>
        <v>June</v>
      </c>
      <c r="AC558">
        <f>YEAR(C558)</f>
        <v>2024</v>
      </c>
      <c r="AD558" t="str">
        <f>IF(X558&lt;0, "Invalid: Ship Date Before Order Date", IF(W558&lt;0, "Invalid: Negative Discount", IF(W558&gt;0.5, "Invalid: Exceeds Allowed Discount", "OK")))</f>
        <v>OK</v>
      </c>
    </row>
    <row r="559" spans="1:30">
      <c r="A559" t="s">
        <v>2681</v>
      </c>
      <c r="B559" t="str">
        <f t="shared" si="8"/>
        <v>Unique</v>
      </c>
      <c r="C559" s="3">
        <v>45420</v>
      </c>
      <c r="D559" s="3">
        <v>45426</v>
      </c>
      <c r="E559" t="s">
        <v>2684</v>
      </c>
      <c r="F559" t="s">
        <v>83</v>
      </c>
      <c r="G559" t="s">
        <v>115</v>
      </c>
      <c r="H559" t="s">
        <v>27</v>
      </c>
      <c r="I559" t="s">
        <v>323</v>
      </c>
      <c r="J559" t="s">
        <v>324</v>
      </c>
      <c r="K559" t="s">
        <v>86</v>
      </c>
      <c r="L559" t="s">
        <v>223</v>
      </c>
      <c r="M559" t="s">
        <v>2685</v>
      </c>
      <c r="N559" t="s">
        <v>56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34</v>
      </c>
      <c r="V559" t="s">
        <v>78</v>
      </c>
      <c r="W559">
        <f>IF(ISBLANK(Q559), 0, IFERROR(VALUE(Q559), 0.7))</f>
        <v>0.05</v>
      </c>
      <c r="X559">
        <f>D559 - C559</f>
        <v>6</v>
      </c>
      <c r="Y559">
        <f>O559 * P559 * (1 - W559)</f>
        <v>32228.882999999998</v>
      </c>
      <c r="Z559">
        <f>Y559 - S559</f>
        <v>7257.5229999999974</v>
      </c>
      <c r="AA559">
        <f>IFERROR(Z559 / Y559, 0)</f>
        <v>0.22518692317074712</v>
      </c>
      <c r="AB559" t="str">
        <f>TEXT(C559, "mmmm")</f>
        <v>May</v>
      </c>
      <c r="AC559">
        <f>YEAR(C559)</f>
        <v>2024</v>
      </c>
      <c r="AD559" t="str">
        <f>IF(X559&lt;0, "Invalid: Ship Date Before Order Date", IF(W559&lt;0, "Invalid: Negative Discount", IF(W559&gt;0.5, "Invalid: Exceeds Allowed Discount", "OK")))</f>
        <v>OK</v>
      </c>
    </row>
    <row r="560" spans="1:30">
      <c r="A560" t="s">
        <v>2686</v>
      </c>
      <c r="B560" t="str">
        <f t="shared" si="8"/>
        <v>Unique</v>
      </c>
      <c r="C560" s="3">
        <v>45904</v>
      </c>
      <c r="D560" s="3">
        <v>45904</v>
      </c>
      <c r="E560" t="s">
        <v>2689</v>
      </c>
      <c r="F560" t="s">
        <v>107</v>
      </c>
      <c r="G560" t="s">
        <v>108</v>
      </c>
      <c r="H560" t="s">
        <v>27</v>
      </c>
      <c r="I560" t="s">
        <v>154</v>
      </c>
      <c r="J560" t="s">
        <v>155</v>
      </c>
      <c r="K560" t="s">
        <v>86</v>
      </c>
      <c r="L560" t="s">
        <v>382</v>
      </c>
      <c r="M560" t="s">
        <v>2690</v>
      </c>
      <c r="N560" t="s">
        <v>56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34</v>
      </c>
      <c r="V560" t="s">
        <v>35</v>
      </c>
      <c r="W560">
        <f>IF(ISBLANK(Q560), 0, IFERROR(VALUE(Q560), 0.7))</f>
        <v>0.2</v>
      </c>
      <c r="X560">
        <f>D560 - C560</f>
        <v>0</v>
      </c>
      <c r="Y560">
        <f>O560 * P560 * (1 - W560)</f>
        <v>19711.68</v>
      </c>
      <c r="Z560">
        <f>Y560 - S560</f>
        <v>5249.880000000001</v>
      </c>
      <c r="AA560">
        <f>IFERROR(Z560 / Y560, 0)</f>
        <v>0.26633346320557155</v>
      </c>
      <c r="AB560" t="str">
        <f>TEXT(C560, "mmmm")</f>
        <v>September</v>
      </c>
      <c r="AC560">
        <f>YEAR(C560)</f>
        <v>2025</v>
      </c>
      <c r="AD560" t="str">
        <f>IF(X560&lt;0, "Invalid: Ship Date Before Order Date", IF(W560&lt;0, "Invalid: Negative Discount", IF(W560&gt;0.5, "Invalid: Exceeds Allowed Discount", "OK")))</f>
        <v>OK</v>
      </c>
    </row>
    <row r="561" spans="1:30">
      <c r="A561" t="s">
        <v>2691</v>
      </c>
      <c r="B561" t="str">
        <f t="shared" si="8"/>
        <v>Unique</v>
      </c>
      <c r="C561" s="3">
        <v>45930</v>
      </c>
      <c r="D561" s="3">
        <v>45937</v>
      </c>
      <c r="E561" t="s">
        <v>2693</v>
      </c>
      <c r="F561" t="s">
        <v>210</v>
      </c>
      <c r="G561" t="s">
        <v>108</v>
      </c>
      <c r="H561" t="s">
        <v>42</v>
      </c>
      <c r="I561" t="s">
        <v>186</v>
      </c>
      <c r="J561" t="s">
        <v>187</v>
      </c>
      <c r="K561" t="s">
        <v>86</v>
      </c>
      <c r="L561" t="s">
        <v>94</v>
      </c>
      <c r="M561" t="s">
        <v>2694</v>
      </c>
      <c r="N561" t="s">
        <v>33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34</v>
      </c>
      <c r="V561" t="s">
        <v>125</v>
      </c>
      <c r="W561">
        <f>IF(ISBLANK(Q561), 0, IFERROR(VALUE(Q561), 0.7))</f>
        <v>0.1</v>
      </c>
      <c r="X561">
        <f>D561 - C561</f>
        <v>7</v>
      </c>
      <c r="Y561">
        <f>O561 * P561 * (1 - W561)</f>
        <v>14750.190000000002</v>
      </c>
      <c r="Z561">
        <f>Y561 - S561</f>
        <v>5267.6100000000024</v>
      </c>
      <c r="AA561">
        <f>IFERROR(Z561 / Y561, 0)</f>
        <v>0.35712150148574368</v>
      </c>
      <c r="AB561" t="str">
        <f>TEXT(C561, "mmmm")</f>
        <v>September</v>
      </c>
      <c r="AC561">
        <f>YEAR(C561)</f>
        <v>2025</v>
      </c>
      <c r="AD561" t="str">
        <f>IF(X561&lt;0, "Invalid: Ship Date Before Order Date", IF(W561&lt;0, "Invalid: Negative Discount", IF(W561&gt;0.5, "Invalid: Exceeds Allowed Discount", "OK")))</f>
        <v>OK</v>
      </c>
    </row>
    <row r="562" spans="1:30">
      <c r="A562" t="s">
        <v>2695</v>
      </c>
      <c r="B562" t="str">
        <f t="shared" si="8"/>
        <v>Unique</v>
      </c>
      <c r="C562" s="3">
        <v>45307</v>
      </c>
      <c r="D562" s="3">
        <v>45313</v>
      </c>
      <c r="E562" t="s">
        <v>2697</v>
      </c>
      <c r="F562" t="s">
        <v>61</v>
      </c>
      <c r="G562" t="s">
        <v>26</v>
      </c>
      <c r="H562" t="s">
        <v>73</v>
      </c>
      <c r="I562" t="s">
        <v>249</v>
      </c>
      <c r="J562" t="s">
        <v>250</v>
      </c>
      <c r="K562" t="s">
        <v>30</v>
      </c>
      <c r="L562" t="s">
        <v>156</v>
      </c>
      <c r="M562" t="s">
        <v>2698</v>
      </c>
      <c r="N562" t="s">
        <v>67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34</v>
      </c>
      <c r="V562" t="s">
        <v>78</v>
      </c>
      <c r="W562">
        <f>IF(ISBLANK(Q562), 0, IFERROR(VALUE(Q562), 0.7))</f>
        <v>0</v>
      </c>
      <c r="X562">
        <f>D562 - C562</f>
        <v>6</v>
      </c>
      <c r="Y562">
        <f>O562 * P562 * (1 - W562)</f>
        <v>1130.1199999999999</v>
      </c>
      <c r="Z562">
        <f>Y562 - S562</f>
        <v>281.49999999999989</v>
      </c>
      <c r="AA562">
        <f>IFERROR(Z562 / Y562, 0)</f>
        <v>0.249088592361873</v>
      </c>
      <c r="AB562" t="str">
        <f>TEXT(C562, "mmmm")</f>
        <v>January</v>
      </c>
      <c r="AC562">
        <f>YEAR(C562)</f>
        <v>2024</v>
      </c>
      <c r="AD562" t="str">
        <f>IF(X562&lt;0, "Invalid: Ship Date Before Order Date", IF(W562&lt;0, "Invalid: Negative Discount", IF(W562&gt;0.5, "Invalid: Exceeds Allowed Discount", "OK")))</f>
        <v>OK</v>
      </c>
    </row>
    <row r="563" spans="1:30">
      <c r="A563" t="s">
        <v>2699</v>
      </c>
      <c r="B563" t="str">
        <f t="shared" si="8"/>
        <v>Unique</v>
      </c>
      <c r="C563" s="3">
        <v>45852</v>
      </c>
      <c r="D563" s="3">
        <v>45856</v>
      </c>
      <c r="E563" t="s">
        <v>2701</v>
      </c>
      <c r="F563" t="s">
        <v>107</v>
      </c>
      <c r="G563" t="s">
        <v>26</v>
      </c>
      <c r="H563" t="s">
        <v>27</v>
      </c>
      <c r="I563" t="s">
        <v>154</v>
      </c>
      <c r="J563" t="s">
        <v>155</v>
      </c>
      <c r="K563" t="s">
        <v>86</v>
      </c>
      <c r="L563" t="s">
        <v>94</v>
      </c>
      <c r="M563" t="s">
        <v>2702</v>
      </c>
      <c r="N563" t="s">
        <v>56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137</v>
      </c>
      <c r="V563" t="s">
        <v>125</v>
      </c>
      <c r="W563">
        <f>IF(ISBLANK(Q563), 0, IFERROR(VALUE(Q563), 0.7))</f>
        <v>0</v>
      </c>
      <c r="X563">
        <f>D563 - C563</f>
        <v>4</v>
      </c>
      <c r="Y563">
        <f>O563 * P563 * (1 - W563)</f>
        <v>2900.88</v>
      </c>
      <c r="Z563">
        <f>Y563 - S563</f>
        <v>509.0300000000002</v>
      </c>
      <c r="AA563">
        <f>IFERROR(Z563 / Y563, 0)</f>
        <v>0.17547433882132324</v>
      </c>
      <c r="AB563" t="str">
        <f>TEXT(C563, "mmmm")</f>
        <v>July</v>
      </c>
      <c r="AC563">
        <f>YEAR(C563)</f>
        <v>2025</v>
      </c>
      <c r="AD563" t="str">
        <f>IF(X563&lt;0, "Invalid: Ship Date Before Order Date", IF(W563&lt;0, "Invalid: Negative Discount", IF(W563&gt;0.5, "Invalid: Exceeds Allowed Discount", "OK")))</f>
        <v>OK</v>
      </c>
    </row>
    <row r="564" spans="1:30">
      <c r="A564" t="s">
        <v>2703</v>
      </c>
      <c r="B564" t="str">
        <f t="shared" si="8"/>
        <v>Unique</v>
      </c>
      <c r="C564" s="3">
        <v>45422</v>
      </c>
      <c r="D564" s="3">
        <v>45428</v>
      </c>
      <c r="E564" t="s">
        <v>2705</v>
      </c>
      <c r="F564" t="s">
        <v>25</v>
      </c>
      <c r="G564" t="s">
        <v>26</v>
      </c>
      <c r="H564" t="s">
        <v>27</v>
      </c>
      <c r="I564" t="s">
        <v>154</v>
      </c>
      <c r="J564" t="s">
        <v>155</v>
      </c>
      <c r="K564" t="s">
        <v>30</v>
      </c>
      <c r="L564" t="s">
        <v>198</v>
      </c>
      <c r="M564" t="s">
        <v>2706</v>
      </c>
      <c r="N564" t="s">
        <v>48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200</v>
      </c>
      <c r="V564" t="s">
        <v>125</v>
      </c>
      <c r="W564">
        <f>IF(ISBLANK(Q564), 0, IFERROR(VALUE(Q564), 0.7))</f>
        <v>0.2</v>
      </c>
      <c r="X564">
        <f>D564 - C564</f>
        <v>6</v>
      </c>
      <c r="Y564">
        <f>O564 * P564 * (1 - W564)</f>
        <v>680.62400000000014</v>
      </c>
      <c r="Z564">
        <f>Y564 - S564</f>
        <v>217.13400000000013</v>
      </c>
      <c r="AA564">
        <f>IFERROR(Z564 / Y564, 0)</f>
        <v>0.31902195632243363</v>
      </c>
      <c r="AB564" t="str">
        <f>TEXT(C564, "mmmm")</f>
        <v>May</v>
      </c>
      <c r="AC564">
        <f>YEAR(C564)</f>
        <v>2024</v>
      </c>
      <c r="AD564" t="str">
        <f>IF(X564&lt;0, "Invalid: Ship Date Before Order Date", IF(W564&lt;0, "Invalid: Negative Discount", IF(W564&gt;0.5, "Invalid: Exceeds Allowed Discount", "OK")))</f>
        <v>OK</v>
      </c>
    </row>
    <row r="565" spans="1:30">
      <c r="A565" t="s">
        <v>2707</v>
      </c>
      <c r="B565" t="str">
        <f t="shared" si="8"/>
        <v>Unique</v>
      </c>
      <c r="C565" s="3">
        <v>45418</v>
      </c>
      <c r="D565" s="3">
        <v>45631</v>
      </c>
      <c r="E565" t="s">
        <v>2709</v>
      </c>
      <c r="F565" t="s">
        <v>61</v>
      </c>
      <c r="G565" t="s">
        <v>108</v>
      </c>
      <c r="H565" t="s">
        <v>73</v>
      </c>
      <c r="I565" t="s">
        <v>249</v>
      </c>
      <c r="J565" t="s">
        <v>250</v>
      </c>
      <c r="K565" t="s">
        <v>45</v>
      </c>
      <c r="L565" t="s">
        <v>46</v>
      </c>
      <c r="M565" t="s">
        <v>2710</v>
      </c>
      <c r="N565" t="s">
        <v>67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137</v>
      </c>
      <c r="V565" t="s">
        <v>78</v>
      </c>
      <c r="W565">
        <f>IF(ISBLANK(Q565), 0, IFERROR(VALUE(Q565), 0.7))</f>
        <v>0.2</v>
      </c>
      <c r="X565">
        <f>D565 - C565</f>
        <v>213</v>
      </c>
      <c r="Y565">
        <f>O565 * P565 * (1 - W565)</f>
        <v>5694.9840000000004</v>
      </c>
      <c r="Z565">
        <f>Y565 - S565</f>
        <v>1076.6540000000005</v>
      </c>
      <c r="AA565">
        <f>IFERROR(Z565 / Y565, 0)</f>
        <v>0.1890530333360024</v>
      </c>
      <c r="AB565" t="str">
        <f>TEXT(C565, "mmmm")</f>
        <v>May</v>
      </c>
      <c r="AC565">
        <f>YEAR(C565)</f>
        <v>2024</v>
      </c>
      <c r="AD565" t="str">
        <f>IF(X565&lt;0, "Invalid: Ship Date Before Order Date", IF(W565&lt;0, "Invalid: Negative Discount", IF(W565&gt;0.5, "Invalid: Exceeds Allowed Discount", "OK")))</f>
        <v>OK</v>
      </c>
    </row>
    <row r="566" spans="1:30">
      <c r="A566" t="s">
        <v>2711</v>
      </c>
      <c r="B566" t="str">
        <f t="shared" si="8"/>
        <v>Unique</v>
      </c>
      <c r="C566" s="3">
        <v>45606</v>
      </c>
      <c r="D566" s="3">
        <v>45610</v>
      </c>
      <c r="E566" t="s">
        <v>2713</v>
      </c>
      <c r="F566" t="s">
        <v>168</v>
      </c>
      <c r="G566" t="s">
        <v>108</v>
      </c>
      <c r="H566" t="s">
        <v>62</v>
      </c>
      <c r="I566" t="s">
        <v>100</v>
      </c>
      <c r="J566" t="s">
        <v>101</v>
      </c>
      <c r="K566" t="s">
        <v>45</v>
      </c>
      <c r="L566" t="s">
        <v>46</v>
      </c>
      <c r="M566" t="s">
        <v>2714</v>
      </c>
      <c r="N566" t="s">
        <v>56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34</v>
      </c>
      <c r="V566" t="s">
        <v>35</v>
      </c>
      <c r="W566">
        <f>IF(ISBLANK(Q566), 0, IFERROR(VALUE(Q566), 0.7))</f>
        <v>0.2</v>
      </c>
      <c r="X566">
        <f>D566 - C566</f>
        <v>4</v>
      </c>
      <c r="Y566">
        <f>O566 * P566 * (1 - W566)</f>
        <v>1474.1440000000002</v>
      </c>
      <c r="Z566">
        <f>Y566 - S566</f>
        <v>505.6840000000002</v>
      </c>
      <c r="AA566">
        <f>IFERROR(Z566 / Y566, 0)</f>
        <v>0.34303568715132315</v>
      </c>
      <c r="AB566" t="str">
        <f>TEXT(C566, "mmmm")</f>
        <v>November</v>
      </c>
      <c r="AC566">
        <f>YEAR(C566)</f>
        <v>2024</v>
      </c>
      <c r="AD566" t="str">
        <f>IF(X566&lt;0, "Invalid: Ship Date Before Order Date", IF(W566&lt;0, "Invalid: Negative Discount", IF(W566&gt;0.5, "Invalid: Exceeds Allowed Discount", "OK")))</f>
        <v>OK</v>
      </c>
    </row>
    <row r="567" spans="1:30">
      <c r="A567" t="s">
        <v>2715</v>
      </c>
      <c r="B567" t="str">
        <f t="shared" si="8"/>
        <v>Unique</v>
      </c>
      <c r="C567" s="3">
        <v>45876</v>
      </c>
      <c r="D567" s="3">
        <v>45882</v>
      </c>
      <c r="E567" t="s">
        <v>2717</v>
      </c>
      <c r="F567" t="s">
        <v>40</v>
      </c>
      <c r="G567" t="s">
        <v>108</v>
      </c>
      <c r="H567" t="s">
        <v>27</v>
      </c>
      <c r="I567" t="s">
        <v>506</v>
      </c>
      <c r="J567" t="s">
        <v>507</v>
      </c>
      <c r="K567" t="s">
        <v>86</v>
      </c>
      <c r="L567" t="s">
        <v>223</v>
      </c>
      <c r="M567" t="s">
        <v>2718</v>
      </c>
      <c r="N567" t="s">
        <v>67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124</v>
      </c>
      <c r="V567" t="s">
        <v>78</v>
      </c>
      <c r="W567">
        <f>IF(ISBLANK(Q567), 0, IFERROR(VALUE(Q567), 0.7))</f>
        <v>0.2</v>
      </c>
      <c r="X567">
        <f>D567 - C567</f>
        <v>6</v>
      </c>
      <c r="Y567">
        <f>O567 * P567 * (1 - W567)</f>
        <v>9224.9279999999999</v>
      </c>
      <c r="Z567">
        <f>Y567 - S567</f>
        <v>2219.7280000000001</v>
      </c>
      <c r="AA567">
        <f>IFERROR(Z567 / Y567, 0)</f>
        <v>0.24062279944081949</v>
      </c>
      <c r="AB567" t="str">
        <f>TEXT(C567, "mmmm")</f>
        <v>August</v>
      </c>
      <c r="AC567">
        <f>YEAR(C567)</f>
        <v>2025</v>
      </c>
      <c r="AD567" t="str">
        <f>IF(X567&lt;0, "Invalid: Ship Date Before Order Date", IF(W567&lt;0, "Invalid: Negative Discount", IF(W567&gt;0.5, "Invalid: Exceeds Allowed Discount", "OK")))</f>
        <v>OK</v>
      </c>
    </row>
    <row r="568" spans="1:30">
      <c r="A568" t="s">
        <v>2719</v>
      </c>
      <c r="B568" t="str">
        <f t="shared" si="8"/>
        <v>Unique</v>
      </c>
      <c r="C568" s="3">
        <v>45515</v>
      </c>
      <c r="D568" s="3">
        <v>45523</v>
      </c>
      <c r="E568" t="s">
        <v>2721</v>
      </c>
      <c r="F568" t="s">
        <v>168</v>
      </c>
      <c r="G568" t="s">
        <v>41</v>
      </c>
      <c r="H568" t="s">
        <v>73</v>
      </c>
      <c r="I568" t="s">
        <v>74</v>
      </c>
      <c r="J568" t="s">
        <v>75</v>
      </c>
      <c r="K568" t="s">
        <v>30</v>
      </c>
      <c r="L568" t="s">
        <v>31</v>
      </c>
      <c r="M568" t="s">
        <v>2722</v>
      </c>
      <c r="N568" t="s">
        <v>48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200</v>
      </c>
      <c r="V568" t="s">
        <v>125</v>
      </c>
      <c r="W568">
        <f>IF(ISBLANK(Q568), 0, IFERROR(VALUE(Q568), 0.7))</f>
        <v>0.1</v>
      </c>
      <c r="X568">
        <f>D568 - C568</f>
        <v>8</v>
      </c>
      <c r="Y568">
        <f>O568 * P568 * (1 - W568)</f>
        <v>4712.2020000000002</v>
      </c>
      <c r="Z568">
        <f>Y568 - S568</f>
        <v>860.29200000000037</v>
      </c>
      <c r="AA568">
        <f>IFERROR(Z568 / Y568, 0)</f>
        <v>0.18256687637754077</v>
      </c>
      <c r="AB568" t="str">
        <f>TEXT(C568, "mmmm")</f>
        <v>August</v>
      </c>
      <c r="AC568">
        <f>YEAR(C568)</f>
        <v>2024</v>
      </c>
      <c r="AD568" t="str">
        <f>IF(X568&lt;0, "Invalid: Ship Date Before Order Date", IF(W568&lt;0, "Invalid: Negative Discount", IF(W568&gt;0.5, "Invalid: Exceeds Allowed Discount", "OK")))</f>
        <v>OK</v>
      </c>
    </row>
    <row r="569" spans="1:30">
      <c r="A569" t="s">
        <v>2723</v>
      </c>
      <c r="B569" t="str">
        <f t="shared" si="8"/>
        <v>Unique</v>
      </c>
      <c r="C569" s="3">
        <v>45328</v>
      </c>
      <c r="D569" s="3">
        <v>45567</v>
      </c>
      <c r="E569" t="s">
        <v>2726</v>
      </c>
      <c r="F569" t="s">
        <v>61</v>
      </c>
      <c r="G569" t="s">
        <v>115</v>
      </c>
      <c r="H569" t="s">
        <v>27</v>
      </c>
      <c r="I569" t="s">
        <v>174</v>
      </c>
      <c r="J569" t="s">
        <v>175</v>
      </c>
      <c r="K569" t="s">
        <v>45</v>
      </c>
      <c r="L569" t="s">
        <v>65</v>
      </c>
      <c r="M569" t="s">
        <v>900</v>
      </c>
      <c r="N569" t="s">
        <v>48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34</v>
      </c>
      <c r="V569" t="s">
        <v>35</v>
      </c>
      <c r="W569">
        <f>IF(ISBLANK(Q569), 0, IFERROR(VALUE(Q569), 0.7))</f>
        <v>0.05</v>
      </c>
      <c r="X569">
        <f>D569 - C569</f>
        <v>239</v>
      </c>
      <c r="Y569">
        <f>O569 * P569 * (1 - W569)</f>
        <v>1305.357</v>
      </c>
      <c r="Z569">
        <f>Y569 - S569</f>
        <v>573.46699999999998</v>
      </c>
      <c r="AA569">
        <f>IFERROR(Z569 / Y569, 0)</f>
        <v>0.4393181328939133</v>
      </c>
      <c r="AB569" t="str">
        <f>TEXT(C569, "mmmm")</f>
        <v>February</v>
      </c>
      <c r="AC569">
        <f>YEAR(C569)</f>
        <v>2024</v>
      </c>
      <c r="AD569" t="str">
        <f>IF(X569&lt;0, "Invalid: Ship Date Before Order Date", IF(W569&lt;0, "Invalid: Negative Discount", IF(W569&gt;0.5, "Invalid: Exceeds Allowed Discount", "OK")))</f>
        <v>OK</v>
      </c>
    </row>
    <row r="570" spans="1:30">
      <c r="A570" t="s">
        <v>2727</v>
      </c>
      <c r="B570" t="str">
        <f t="shared" si="8"/>
        <v>Unique</v>
      </c>
      <c r="C570" s="3">
        <v>45312</v>
      </c>
      <c r="D570" s="3">
        <v>45315</v>
      </c>
      <c r="E570" t="s">
        <v>2729</v>
      </c>
      <c r="F570" t="s">
        <v>366</v>
      </c>
      <c r="G570" t="s">
        <v>108</v>
      </c>
      <c r="H570" t="s">
        <v>27</v>
      </c>
      <c r="I570" t="s">
        <v>154</v>
      </c>
      <c r="J570" t="s">
        <v>155</v>
      </c>
      <c r="K570" t="s">
        <v>86</v>
      </c>
      <c r="L570" t="s">
        <v>382</v>
      </c>
      <c r="M570" t="s">
        <v>2730</v>
      </c>
      <c r="N570" t="s">
        <v>48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34</v>
      </c>
      <c r="V570" t="s">
        <v>35</v>
      </c>
      <c r="W570">
        <f>IF(ISBLANK(Q570), 0, IFERROR(VALUE(Q570), 0.7))</f>
        <v>0.25</v>
      </c>
      <c r="X570">
        <f>D570 - C570</f>
        <v>3</v>
      </c>
      <c r="Y570">
        <f>O570 * P570 * (1 - W570)</f>
        <v>2854.7250000000004</v>
      </c>
      <c r="Z570">
        <f>Y570 - S570</f>
        <v>886.60500000000047</v>
      </c>
      <c r="AA570">
        <f>IFERROR(Z570 / Y570, 0)</f>
        <v>0.31057457373302172</v>
      </c>
      <c r="AB570" t="str">
        <f>TEXT(C570, "mmmm")</f>
        <v>January</v>
      </c>
      <c r="AC570">
        <f>YEAR(C570)</f>
        <v>2024</v>
      </c>
      <c r="AD570" t="str">
        <f>IF(X570&lt;0, "Invalid: Ship Date Before Order Date", IF(W570&lt;0, "Invalid: Negative Discount", IF(W570&gt;0.5, "Invalid: Exceeds Allowed Discount", "OK")))</f>
        <v>OK</v>
      </c>
    </row>
    <row r="571" spans="1:30">
      <c r="A571" t="s">
        <v>2731</v>
      </c>
      <c r="B571" t="str">
        <f t="shared" si="8"/>
        <v>Unique</v>
      </c>
      <c r="C571" s="3">
        <v>45908</v>
      </c>
      <c r="D571" s="3">
        <v>45910</v>
      </c>
      <c r="E571" t="s">
        <v>2734</v>
      </c>
      <c r="F571" t="s">
        <v>148</v>
      </c>
      <c r="G571" t="s">
        <v>115</v>
      </c>
      <c r="H571" t="s">
        <v>73</v>
      </c>
      <c r="I571" t="s">
        <v>74</v>
      </c>
      <c r="J571" t="s">
        <v>75</v>
      </c>
      <c r="K571" t="s">
        <v>45</v>
      </c>
      <c r="L571" t="s">
        <v>65</v>
      </c>
      <c r="M571" t="s">
        <v>2735</v>
      </c>
      <c r="N571" t="s">
        <v>67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124</v>
      </c>
      <c r="V571" t="s">
        <v>125</v>
      </c>
      <c r="W571">
        <f>IF(ISBLANK(Q571), 0, IFERROR(VALUE(Q571), 0.7))</f>
        <v>0.25</v>
      </c>
      <c r="X571">
        <f>D571 - C571</f>
        <v>2</v>
      </c>
      <c r="Y571">
        <f>O571 * P571 * (1 - W571)</f>
        <v>14630.264999999999</v>
      </c>
      <c r="Z571">
        <f>Y571 - S571</f>
        <v>2723.9049999999988</v>
      </c>
      <c r="AA571">
        <f>IFERROR(Z571 / Y571, 0)</f>
        <v>0.18618288868998606</v>
      </c>
      <c r="AB571" t="str">
        <f>TEXT(C571, "mmmm")</f>
        <v>September</v>
      </c>
      <c r="AC571">
        <f>YEAR(C571)</f>
        <v>2025</v>
      </c>
      <c r="AD571" t="str">
        <f>IF(X571&lt;0, "Invalid: Ship Date Before Order Date", IF(W571&lt;0, "Invalid: Negative Discount", IF(W571&gt;0.5, "Invalid: Exceeds Allowed Discount", "OK")))</f>
        <v>OK</v>
      </c>
    </row>
    <row r="572" spans="1:30">
      <c r="A572" t="s">
        <v>2736</v>
      </c>
      <c r="B572" t="str">
        <f t="shared" si="8"/>
        <v>Unique</v>
      </c>
      <c r="C572" s="3">
        <v>45887</v>
      </c>
      <c r="D572" s="3">
        <v>45891</v>
      </c>
      <c r="E572" t="s">
        <v>2737</v>
      </c>
      <c r="F572" t="s">
        <v>61</v>
      </c>
      <c r="G572" t="s">
        <v>26</v>
      </c>
      <c r="H572" t="s">
        <v>42</v>
      </c>
      <c r="I572" t="s">
        <v>311</v>
      </c>
      <c r="J572" t="s">
        <v>312</v>
      </c>
      <c r="K572" t="s">
        <v>45</v>
      </c>
      <c r="L572" t="s">
        <v>65</v>
      </c>
      <c r="M572" t="s">
        <v>2738</v>
      </c>
      <c r="N572" t="s">
        <v>33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200</v>
      </c>
      <c r="V572" t="s">
        <v>125</v>
      </c>
      <c r="W572">
        <f>IF(ISBLANK(Q572), 0, IFERROR(VALUE(Q572), 0.7))</f>
        <v>0.25</v>
      </c>
      <c r="X572">
        <f>D572 - C572</f>
        <v>4</v>
      </c>
      <c r="Y572">
        <f>O572 * P572 * (1 - W572)</f>
        <v>8879.49</v>
      </c>
      <c r="Z572">
        <f>Y572 - S572</f>
        <v>2534.92</v>
      </c>
      <c r="AA572">
        <f>IFERROR(Z572 / Y572, 0)</f>
        <v>0.28548035979543873</v>
      </c>
      <c r="AB572" t="str">
        <f>TEXT(C572, "mmmm")</f>
        <v>August</v>
      </c>
      <c r="AC572">
        <f>YEAR(C572)</f>
        <v>2025</v>
      </c>
      <c r="AD572" t="str">
        <f>IF(X572&lt;0, "Invalid: Ship Date Before Order Date", IF(W572&lt;0, "Invalid: Negative Discount", IF(W572&gt;0.5, "Invalid: Exceeds Allowed Discount", "OK")))</f>
        <v>OK</v>
      </c>
    </row>
    <row r="573" spans="1:30">
      <c r="A573" t="s">
        <v>2739</v>
      </c>
      <c r="B573" t="str">
        <f t="shared" si="8"/>
        <v>Review: Duplicate Order ID</v>
      </c>
      <c r="C573" s="3">
        <v>45698</v>
      </c>
      <c r="D573" s="3">
        <v>45702</v>
      </c>
      <c r="E573" t="s">
        <v>2741</v>
      </c>
      <c r="F573" t="s">
        <v>142</v>
      </c>
      <c r="G573" t="s">
        <v>41</v>
      </c>
      <c r="H573" t="s">
        <v>27</v>
      </c>
      <c r="I573" t="s">
        <v>174</v>
      </c>
      <c r="J573" t="s">
        <v>175</v>
      </c>
      <c r="K573" t="s">
        <v>86</v>
      </c>
      <c r="L573" t="s">
        <v>223</v>
      </c>
      <c r="M573" t="s">
        <v>2742</v>
      </c>
      <c r="N573" t="s">
        <v>4110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200</v>
      </c>
      <c r="V573" t="s">
        <v>125</v>
      </c>
      <c r="W573">
        <f>IF(ISBLANK(Q573), 0, IFERROR(VALUE(Q573), 0.7))</f>
        <v>0</v>
      </c>
      <c r="X573">
        <f>D573 - C573</f>
        <v>4</v>
      </c>
      <c r="Y573">
        <f>O573 * P573 * (1 - W573)</f>
        <v>21381.45</v>
      </c>
      <c r="Z573">
        <f>Y573 - S573</f>
        <v>8141.2400000000016</v>
      </c>
      <c r="AA573">
        <f>IFERROR(Z573 / Y573, 0)</f>
        <v>0.38076182859441249</v>
      </c>
      <c r="AB573" t="str">
        <f>TEXT(C573, "mmmm")</f>
        <v>February</v>
      </c>
      <c r="AC573">
        <f>YEAR(C573)</f>
        <v>2025</v>
      </c>
      <c r="AD573" t="str">
        <f>IF(X573&lt;0, "Invalid: Ship Date Before Order Date", IF(W573&lt;0, "Invalid: Negative Discount", IF(W573&gt;0.5, "Invalid: Exceeds Allowed Discount", "OK")))</f>
        <v>OK</v>
      </c>
    </row>
    <row r="574" spans="1:30">
      <c r="A574" t="s">
        <v>2743</v>
      </c>
      <c r="B574" t="str">
        <f t="shared" si="8"/>
        <v>Unique</v>
      </c>
      <c r="C574" s="3">
        <v>45293</v>
      </c>
      <c r="D574" s="3">
        <v>45536</v>
      </c>
      <c r="E574" t="s">
        <v>2746</v>
      </c>
      <c r="F574" t="s">
        <v>210</v>
      </c>
      <c r="G574" t="s">
        <v>108</v>
      </c>
      <c r="H574" t="s">
        <v>27</v>
      </c>
      <c r="I574" t="s">
        <v>506</v>
      </c>
      <c r="J574" t="s">
        <v>507</v>
      </c>
      <c r="K574" t="s">
        <v>86</v>
      </c>
      <c r="L574" t="s">
        <v>223</v>
      </c>
      <c r="M574" t="s">
        <v>2747</v>
      </c>
      <c r="N574" t="s">
        <v>67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34</v>
      </c>
      <c r="V574" t="s">
        <v>35</v>
      </c>
      <c r="W574">
        <f>IF(ISBLANK(Q574), 0, IFERROR(VALUE(Q574), 0.7))</f>
        <v>0.2</v>
      </c>
      <c r="X574">
        <f>D574 - C574</f>
        <v>243</v>
      </c>
      <c r="Y574">
        <f>O574 * P574 * (1 - W574)</f>
        <v>1774.944</v>
      </c>
      <c r="Z574">
        <f>Y574 - S574</f>
        <v>767.54399999999998</v>
      </c>
      <c r="AA574">
        <f>IFERROR(Z574 / Y574, 0)</f>
        <v>0.43243279787982042</v>
      </c>
      <c r="AB574" t="str">
        <f>TEXT(C574, "mmmm")</f>
        <v>January</v>
      </c>
      <c r="AC574">
        <f>YEAR(C574)</f>
        <v>2024</v>
      </c>
      <c r="AD574" t="str">
        <f>IF(X574&lt;0, "Invalid: Ship Date Before Order Date", IF(W574&lt;0, "Invalid: Negative Discount", IF(W574&gt;0.5, "Invalid: Exceeds Allowed Discount", "OK")))</f>
        <v>OK</v>
      </c>
    </row>
    <row r="575" spans="1:30">
      <c r="A575" t="s">
        <v>2748</v>
      </c>
      <c r="B575" t="str">
        <f t="shared" si="8"/>
        <v>Unique</v>
      </c>
      <c r="C575" s="3">
        <v>45922</v>
      </c>
      <c r="D575" s="3">
        <v>45926</v>
      </c>
      <c r="E575" t="s">
        <v>2751</v>
      </c>
      <c r="F575" t="s">
        <v>53</v>
      </c>
      <c r="G575" t="s">
        <v>26</v>
      </c>
      <c r="H575" t="s">
        <v>62</v>
      </c>
      <c r="I575" t="s">
        <v>100</v>
      </c>
      <c r="J575" t="s">
        <v>101</v>
      </c>
      <c r="K575" t="s">
        <v>86</v>
      </c>
      <c r="L575" t="s">
        <v>223</v>
      </c>
      <c r="M575" t="s">
        <v>2752</v>
      </c>
      <c r="N575" t="s">
        <v>67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34</v>
      </c>
      <c r="V575" t="s">
        <v>35</v>
      </c>
      <c r="W575">
        <f>IF(ISBLANK(Q575), 0, IFERROR(VALUE(Q575), 0.7))</f>
        <v>0</v>
      </c>
      <c r="X575">
        <f>D575 - C575</f>
        <v>4</v>
      </c>
      <c r="Y575">
        <f>O575 * P575 * (1 - W575)</f>
        <v>573.65</v>
      </c>
      <c r="Z575">
        <f>Y575 - S575</f>
        <v>250.97999999999996</v>
      </c>
      <c r="AA575">
        <f>IFERROR(Z575 / Y575, 0)</f>
        <v>0.43751416368866031</v>
      </c>
      <c r="AB575" t="str">
        <f>TEXT(C575, "mmmm")</f>
        <v>September</v>
      </c>
      <c r="AC575">
        <f>YEAR(C575)</f>
        <v>2025</v>
      </c>
      <c r="AD575" t="str">
        <f>IF(X575&lt;0, "Invalid: Ship Date Before Order Date", IF(W575&lt;0, "Invalid: Negative Discount", IF(W575&gt;0.5, "Invalid: Exceeds Allowed Discount", "OK")))</f>
        <v>OK</v>
      </c>
    </row>
    <row r="576" spans="1:30">
      <c r="A576" t="s">
        <v>2753</v>
      </c>
      <c r="B576" t="str">
        <f t="shared" si="8"/>
        <v>Unique</v>
      </c>
      <c r="C576" s="3">
        <v>45342</v>
      </c>
      <c r="D576" s="3">
        <v>45347</v>
      </c>
      <c r="E576" t="s">
        <v>1226</v>
      </c>
      <c r="F576" t="s">
        <v>210</v>
      </c>
      <c r="G576" t="s">
        <v>115</v>
      </c>
      <c r="H576" t="s">
        <v>27</v>
      </c>
      <c r="I576" t="s">
        <v>154</v>
      </c>
      <c r="J576" t="s">
        <v>155</v>
      </c>
      <c r="K576" t="s">
        <v>86</v>
      </c>
      <c r="L576" t="s">
        <v>382</v>
      </c>
      <c r="M576" t="s">
        <v>2755</v>
      </c>
      <c r="N576" t="s">
        <v>67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34</v>
      </c>
      <c r="V576" t="s">
        <v>35</v>
      </c>
      <c r="W576">
        <f>IF(ISBLANK(Q576), 0, IFERROR(VALUE(Q576), 0.7))</f>
        <v>0</v>
      </c>
      <c r="X576">
        <f>D576 - C576</f>
        <v>5</v>
      </c>
      <c r="Y576">
        <f>O576 * P576 * (1 - W576)</f>
        <v>5423.2</v>
      </c>
      <c r="Z576">
        <f>Y576 - S576</f>
        <v>1350.7599999999998</v>
      </c>
      <c r="AA576">
        <f>IFERROR(Z576 / Y576, 0)</f>
        <v>0.24907065938929043</v>
      </c>
      <c r="AB576" t="str">
        <f>TEXT(C576, "mmmm")</f>
        <v>February</v>
      </c>
      <c r="AC576">
        <f>YEAR(C576)</f>
        <v>2024</v>
      </c>
      <c r="AD576" t="str">
        <f>IF(X576&lt;0, "Invalid: Ship Date Before Order Date", IF(W576&lt;0, "Invalid: Negative Discount", IF(W576&gt;0.5, "Invalid: Exceeds Allowed Discount", "OK")))</f>
        <v>OK</v>
      </c>
    </row>
    <row r="577" spans="1:30">
      <c r="A577" t="s">
        <v>2756</v>
      </c>
      <c r="B577" t="str">
        <f t="shared" si="8"/>
        <v>Unique</v>
      </c>
      <c r="C577" s="3">
        <v>45727</v>
      </c>
      <c r="D577" s="3">
        <v>45730</v>
      </c>
      <c r="E577" t="s">
        <v>2759</v>
      </c>
      <c r="F577" t="s">
        <v>168</v>
      </c>
      <c r="G577" t="s">
        <v>115</v>
      </c>
      <c r="H577" t="s">
        <v>62</v>
      </c>
      <c r="I577" t="s">
        <v>242</v>
      </c>
      <c r="J577" t="s">
        <v>243</v>
      </c>
      <c r="K577" t="s">
        <v>45</v>
      </c>
      <c r="L577" t="s">
        <v>65</v>
      </c>
      <c r="M577" t="s">
        <v>2760</v>
      </c>
      <c r="N577" t="s">
        <v>48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200</v>
      </c>
      <c r="V577" t="s">
        <v>125</v>
      </c>
      <c r="W577">
        <f>IF(ISBLANK(Q577), 0, IFERROR(VALUE(Q577), 0.7))</f>
        <v>0.2</v>
      </c>
      <c r="X577">
        <f>D577 - C577</f>
        <v>3</v>
      </c>
      <c r="Y577">
        <f>O577 * P577 * (1 - W577)</f>
        <v>3983.424</v>
      </c>
      <c r="Z577">
        <f>Y577 - S577</f>
        <v>808.51400000000012</v>
      </c>
      <c r="AA577">
        <f>IFERROR(Z577 / Y577, 0)</f>
        <v>0.2029696060474607</v>
      </c>
      <c r="AB577" t="str">
        <f>TEXT(C577, "mmmm")</f>
        <v>March</v>
      </c>
      <c r="AC577">
        <f>YEAR(C577)</f>
        <v>2025</v>
      </c>
      <c r="AD577" t="str">
        <f>IF(X577&lt;0, "Invalid: Ship Date Before Order Date", IF(W577&lt;0, "Invalid: Negative Discount", IF(W577&gt;0.5, "Invalid: Exceeds Allowed Discount", "OK")))</f>
        <v>OK</v>
      </c>
    </row>
    <row r="578" spans="1:30">
      <c r="A578" t="s">
        <v>2761</v>
      </c>
      <c r="B578" t="str">
        <f t="shared" si="8"/>
        <v>Unique</v>
      </c>
      <c r="C578" s="3">
        <v>45339</v>
      </c>
      <c r="D578" s="3">
        <v>45345</v>
      </c>
      <c r="E578" t="s">
        <v>2764</v>
      </c>
      <c r="F578" t="s">
        <v>180</v>
      </c>
      <c r="G578" t="s">
        <v>115</v>
      </c>
      <c r="H578" t="s">
        <v>4110</v>
      </c>
      <c r="I578" t="s">
        <v>186</v>
      </c>
      <c r="J578" t="s">
        <v>187</v>
      </c>
      <c r="K578" t="s">
        <v>30</v>
      </c>
      <c r="L578" t="s">
        <v>198</v>
      </c>
      <c r="M578" t="s">
        <v>2765</v>
      </c>
      <c r="N578" t="s">
        <v>67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124</v>
      </c>
      <c r="V578" t="s">
        <v>125</v>
      </c>
      <c r="W578">
        <f>IF(ISBLANK(Q578), 0, IFERROR(VALUE(Q578), 0.7))</f>
        <v>0</v>
      </c>
      <c r="X578">
        <f>D578 - C578</f>
        <v>6</v>
      </c>
      <c r="Y578">
        <f>O578 * P578 * (1 - W578)</f>
        <v>23530.14</v>
      </c>
      <c r="Z578">
        <f>Y578 - S578</f>
        <v>3992.3499999999985</v>
      </c>
      <c r="AA578">
        <f>IFERROR(Z578 / Y578, 0)</f>
        <v>0.16966962372514566</v>
      </c>
      <c r="AB578" t="str">
        <f>TEXT(C578, "mmmm")</f>
        <v>February</v>
      </c>
      <c r="AC578">
        <f>YEAR(C578)</f>
        <v>2024</v>
      </c>
      <c r="AD578" t="str">
        <f>IF(X578&lt;0, "Invalid: Ship Date Before Order Date", IF(W578&lt;0, "Invalid: Negative Discount", IF(W578&gt;0.5, "Invalid: Exceeds Allowed Discount", "OK")))</f>
        <v>OK</v>
      </c>
    </row>
    <row r="579" spans="1:30">
      <c r="A579" t="s">
        <v>2766</v>
      </c>
      <c r="B579" t="str">
        <f t="shared" ref="B579:B642" si="9">IF(COUNTIF(A:A, A579)&gt;1, "Review: Duplicate Order ID", "Unique")</f>
        <v>Unique</v>
      </c>
      <c r="C579" s="3">
        <v>45897</v>
      </c>
      <c r="D579" s="3">
        <v>45903</v>
      </c>
      <c r="E579" t="s">
        <v>2768</v>
      </c>
      <c r="F579" t="s">
        <v>142</v>
      </c>
      <c r="G579" t="s">
        <v>108</v>
      </c>
      <c r="H579" t="s">
        <v>73</v>
      </c>
      <c r="I579" t="s">
        <v>84</v>
      </c>
      <c r="J579" t="s">
        <v>85</v>
      </c>
      <c r="K579" t="s">
        <v>45</v>
      </c>
      <c r="L579" t="s">
        <v>65</v>
      </c>
      <c r="M579" t="s">
        <v>2769</v>
      </c>
      <c r="N579" t="s">
        <v>67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34</v>
      </c>
      <c r="V579" t="s">
        <v>35</v>
      </c>
      <c r="W579">
        <f>IF(ISBLANK(Q579), 0, IFERROR(VALUE(Q579), 0.7))</f>
        <v>0</v>
      </c>
      <c r="X579">
        <f>D579 - C579</f>
        <v>6</v>
      </c>
      <c r="Y579">
        <f>O579 * P579 * (1 - W579)</f>
        <v>1879.1499999999999</v>
      </c>
      <c r="Z579">
        <f>Y579 - S579</f>
        <v>744.24999999999977</v>
      </c>
      <c r="AA579">
        <f>IFERROR(Z579 / Y579, 0)</f>
        <v>0.39605672777585599</v>
      </c>
      <c r="AB579" t="str">
        <f>TEXT(C579, "mmmm")</f>
        <v>August</v>
      </c>
      <c r="AC579">
        <f>YEAR(C579)</f>
        <v>2025</v>
      </c>
      <c r="AD579" t="str">
        <f>IF(X579&lt;0, "Invalid: Ship Date Before Order Date", IF(W579&lt;0, "Invalid: Negative Discount", IF(W579&gt;0.5, "Invalid: Exceeds Allowed Discount", "OK")))</f>
        <v>OK</v>
      </c>
    </row>
    <row r="580" spans="1:30">
      <c r="A580" t="s">
        <v>2770</v>
      </c>
      <c r="B580" t="str">
        <f t="shared" si="9"/>
        <v>Unique</v>
      </c>
      <c r="C580" s="3">
        <v>45343</v>
      </c>
      <c r="D580" s="3">
        <v>45345</v>
      </c>
      <c r="E580" t="s">
        <v>417</v>
      </c>
      <c r="F580" t="s">
        <v>93</v>
      </c>
      <c r="G580" t="s">
        <v>41</v>
      </c>
      <c r="H580" t="s">
        <v>73</v>
      </c>
      <c r="I580" t="s">
        <v>235</v>
      </c>
      <c r="J580" t="s">
        <v>236</v>
      </c>
      <c r="K580" t="s">
        <v>86</v>
      </c>
      <c r="L580" t="s">
        <v>94</v>
      </c>
      <c r="M580" t="s">
        <v>2773</v>
      </c>
      <c r="N580" t="s">
        <v>56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34</v>
      </c>
      <c r="V580" t="s">
        <v>35</v>
      </c>
      <c r="W580">
        <f>IF(ISBLANK(Q580), 0, IFERROR(VALUE(Q580), 0.7))</f>
        <v>0.05</v>
      </c>
      <c r="X580">
        <f>D580 - C580</f>
        <v>2</v>
      </c>
      <c r="Y580">
        <f>O580 * P580 * (1 - W580)</f>
        <v>15011.805</v>
      </c>
      <c r="Z580">
        <f>Y580 - S580</f>
        <v>5351.4449999999997</v>
      </c>
      <c r="AA580">
        <f>IFERROR(Z580 / Y580, 0)</f>
        <v>0.35648244831317749</v>
      </c>
      <c r="AB580" t="str">
        <f>TEXT(C580, "mmmm")</f>
        <v>February</v>
      </c>
      <c r="AC580">
        <f>YEAR(C580)</f>
        <v>2024</v>
      </c>
      <c r="AD580" t="str">
        <f>IF(X580&lt;0, "Invalid: Ship Date Before Order Date", IF(W580&lt;0, "Invalid: Negative Discount", IF(W580&gt;0.5, "Invalid: Exceeds Allowed Discount", "OK")))</f>
        <v>OK</v>
      </c>
    </row>
    <row r="581" spans="1:30">
      <c r="A581" t="s">
        <v>2774</v>
      </c>
      <c r="B581" t="str">
        <f t="shared" si="9"/>
        <v>Unique</v>
      </c>
      <c r="C581" s="3">
        <v>45462</v>
      </c>
      <c r="D581" s="3">
        <v>45467</v>
      </c>
      <c r="E581" t="s">
        <v>2777</v>
      </c>
      <c r="F581" t="s">
        <v>162</v>
      </c>
      <c r="G581" t="s">
        <v>41</v>
      </c>
      <c r="H581" t="s">
        <v>62</v>
      </c>
      <c r="I581" t="s">
        <v>339</v>
      </c>
      <c r="J581" t="s">
        <v>340</v>
      </c>
      <c r="K581" t="s">
        <v>30</v>
      </c>
      <c r="L581" t="s">
        <v>156</v>
      </c>
      <c r="M581" t="s">
        <v>2778</v>
      </c>
      <c r="N581" t="s">
        <v>48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34</v>
      </c>
      <c r="V581" t="s">
        <v>35</v>
      </c>
      <c r="W581">
        <f>IF(ISBLANK(Q581), 0, IFERROR(VALUE(Q581), 0.7))</f>
        <v>0</v>
      </c>
      <c r="X581">
        <f>D581 - C581</f>
        <v>5</v>
      </c>
      <c r="Y581">
        <f>O581 * P581 * (1 - W581)</f>
        <v>3202.41</v>
      </c>
      <c r="Z581">
        <f>Y581 - S581</f>
        <v>593.9699999999998</v>
      </c>
      <c r="AA581">
        <f>IFERROR(Z581 / Y581, 0)</f>
        <v>0.18547593843386695</v>
      </c>
      <c r="AB581" t="str">
        <f>TEXT(C581, "mmmm")</f>
        <v>June</v>
      </c>
      <c r="AC581">
        <f>YEAR(C581)</f>
        <v>2024</v>
      </c>
      <c r="AD581" t="str">
        <f>IF(X581&lt;0, "Invalid: Ship Date Before Order Date", IF(W581&lt;0, "Invalid: Negative Discount", IF(W581&gt;0.5, "Invalid: Exceeds Allowed Discount", "OK")))</f>
        <v>OK</v>
      </c>
    </row>
    <row r="582" spans="1:30">
      <c r="A582" t="s">
        <v>2779</v>
      </c>
      <c r="B582" t="str">
        <f t="shared" si="9"/>
        <v>Unique</v>
      </c>
      <c r="C582" s="3">
        <v>45811</v>
      </c>
      <c r="D582" s="3">
        <v>45729</v>
      </c>
      <c r="E582" t="s">
        <v>2781</v>
      </c>
      <c r="F582" t="s">
        <v>366</v>
      </c>
      <c r="G582" t="s">
        <v>26</v>
      </c>
      <c r="H582" t="s">
        <v>62</v>
      </c>
      <c r="I582" t="s">
        <v>242</v>
      </c>
      <c r="J582" t="s">
        <v>243</v>
      </c>
      <c r="K582" t="s">
        <v>45</v>
      </c>
      <c r="L582" t="s">
        <v>76</v>
      </c>
      <c r="M582" t="s">
        <v>2782</v>
      </c>
      <c r="N582" t="s">
        <v>67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200</v>
      </c>
      <c r="V582" t="s">
        <v>125</v>
      </c>
      <c r="W582">
        <f>IF(ISBLANK(Q582), 0, IFERROR(VALUE(Q582), 0.7))</f>
        <v>0.15</v>
      </c>
      <c r="X582">
        <f>D582 - C582</f>
        <v>-82</v>
      </c>
      <c r="Y582">
        <f>O582 * P582 * (1 - W582)</f>
        <v>417.48599999999999</v>
      </c>
      <c r="Z582">
        <f>Y582 - S582</f>
        <v>155.81599999999997</v>
      </c>
      <c r="AA582">
        <f>IFERROR(Z582 / Y582, 0)</f>
        <v>0.37322449136018926</v>
      </c>
      <c r="AB582" t="str">
        <f>TEXT(C582, "mmmm")</f>
        <v>June</v>
      </c>
      <c r="AC582">
        <f>YEAR(C582)</f>
        <v>2025</v>
      </c>
      <c r="AD582" t="str">
        <f>IF(X582&lt;0, "Invalid: Ship Date Before Order Date", IF(W582&lt;0, "Invalid: Negative Discount", IF(W582&gt;0.5, "Invalid: Exceeds Allowed Discount", "OK")))</f>
        <v>Invalid: Ship Date Before Order Date</v>
      </c>
    </row>
    <row r="583" spans="1:30">
      <c r="A583" t="s">
        <v>2783</v>
      </c>
      <c r="B583" t="str">
        <f t="shared" si="9"/>
        <v>Unique</v>
      </c>
      <c r="C583" s="3">
        <v>45878</v>
      </c>
      <c r="D583" s="3">
        <v>45879</v>
      </c>
      <c r="E583" t="s">
        <v>2785</v>
      </c>
      <c r="F583" t="s">
        <v>93</v>
      </c>
      <c r="G583" t="s">
        <v>26</v>
      </c>
      <c r="H583" t="s">
        <v>27</v>
      </c>
      <c r="I583" t="s">
        <v>506</v>
      </c>
      <c r="J583" t="s">
        <v>507</v>
      </c>
      <c r="K583" t="s">
        <v>30</v>
      </c>
      <c r="L583" t="s">
        <v>54</v>
      </c>
      <c r="M583" t="s">
        <v>2786</v>
      </c>
      <c r="N583" t="s">
        <v>33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124</v>
      </c>
      <c r="V583" t="s">
        <v>125</v>
      </c>
      <c r="W583">
        <f>IF(ISBLANK(Q583), 0, IFERROR(VALUE(Q583), 0.7))</f>
        <v>0</v>
      </c>
      <c r="X583">
        <f>D583 - C583</f>
        <v>1</v>
      </c>
      <c r="Y583">
        <f>O583 * P583 * (1 - W583)</f>
        <v>16323.8</v>
      </c>
      <c r="Z583">
        <f>Y583 - S583</f>
        <v>6358.0099999999984</v>
      </c>
      <c r="AA583">
        <f>IFERROR(Z583 / Y583, 0)</f>
        <v>0.38949325524693995</v>
      </c>
      <c r="AB583" t="str">
        <f>TEXT(C583, "mmmm")</f>
        <v>August</v>
      </c>
      <c r="AC583">
        <f>YEAR(C583)</f>
        <v>2025</v>
      </c>
      <c r="AD583" t="str">
        <f>IF(X583&lt;0, "Invalid: Ship Date Before Order Date", IF(W583&lt;0, "Invalid: Negative Discount", IF(W583&gt;0.5, "Invalid: Exceeds Allowed Discount", "OK")))</f>
        <v>OK</v>
      </c>
    </row>
    <row r="584" spans="1:30">
      <c r="A584" t="s">
        <v>2787</v>
      </c>
      <c r="B584" t="str">
        <f t="shared" si="9"/>
        <v>Unique</v>
      </c>
      <c r="C584" s="3">
        <v>45580</v>
      </c>
      <c r="D584" s="3">
        <v>45585</v>
      </c>
      <c r="E584" t="s">
        <v>2790</v>
      </c>
      <c r="F584" t="s">
        <v>72</v>
      </c>
      <c r="G584" t="s">
        <v>26</v>
      </c>
      <c r="H584" t="s">
        <v>42</v>
      </c>
      <c r="I584" t="s">
        <v>43</v>
      </c>
      <c r="J584" t="s">
        <v>44</v>
      </c>
      <c r="K584" t="s">
        <v>30</v>
      </c>
      <c r="L584" t="s">
        <v>54</v>
      </c>
      <c r="M584" t="s">
        <v>2791</v>
      </c>
      <c r="N584" t="s">
        <v>56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137</v>
      </c>
      <c r="V584" t="s">
        <v>125</v>
      </c>
      <c r="W584">
        <f>IF(ISBLANK(Q584), 0, IFERROR(VALUE(Q584), 0.7))</f>
        <v>0</v>
      </c>
      <c r="X584">
        <f>D584 - C584</f>
        <v>5</v>
      </c>
      <c r="Y584">
        <f>O584 * P584 * (1 - W584)</f>
        <v>3356.2</v>
      </c>
      <c r="Z584">
        <f>Y584 - S584</f>
        <v>1150.48</v>
      </c>
      <c r="AA584">
        <f>IFERROR(Z584 / Y584, 0)</f>
        <v>0.34279244383528995</v>
      </c>
      <c r="AB584" t="str">
        <f>TEXT(C584, "mmmm")</f>
        <v>October</v>
      </c>
      <c r="AC584">
        <f>YEAR(C584)</f>
        <v>2024</v>
      </c>
      <c r="AD584" t="str">
        <f>IF(X584&lt;0, "Invalid: Ship Date Before Order Date", IF(W584&lt;0, "Invalid: Negative Discount", IF(W584&gt;0.5, "Invalid: Exceeds Allowed Discount", "OK")))</f>
        <v>OK</v>
      </c>
    </row>
    <row r="585" spans="1:30">
      <c r="A585" t="s">
        <v>2792</v>
      </c>
      <c r="B585" t="str">
        <f t="shared" si="9"/>
        <v>Unique</v>
      </c>
      <c r="C585" s="3">
        <v>45350</v>
      </c>
      <c r="D585" s="3">
        <v>45350</v>
      </c>
      <c r="E585" t="s">
        <v>2794</v>
      </c>
      <c r="F585" t="s">
        <v>180</v>
      </c>
      <c r="G585" t="s">
        <v>41</v>
      </c>
      <c r="H585" t="s">
        <v>42</v>
      </c>
      <c r="I585" t="s">
        <v>121</v>
      </c>
      <c r="J585" t="s">
        <v>122</v>
      </c>
      <c r="K585" t="s">
        <v>30</v>
      </c>
      <c r="L585" t="s">
        <v>156</v>
      </c>
      <c r="M585" t="s">
        <v>2795</v>
      </c>
      <c r="N585" t="s">
        <v>56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200</v>
      </c>
      <c r="V585" t="s">
        <v>125</v>
      </c>
      <c r="W585">
        <f>IF(ISBLANK(Q585), 0, IFERROR(VALUE(Q585), 0.7))</f>
        <v>0.2</v>
      </c>
      <c r="X585">
        <f>D585 - C585</f>
        <v>0</v>
      </c>
      <c r="Y585">
        <f>O585 * P585 * (1 - W585)</f>
        <v>2101.4720000000002</v>
      </c>
      <c r="Z585">
        <f>Y585 - S585</f>
        <v>883.64200000000028</v>
      </c>
      <c r="AA585">
        <f>IFERROR(Z585 / Y585, 0)</f>
        <v>0.42048716328364127</v>
      </c>
      <c r="AB585" t="str">
        <f>TEXT(C585, "mmmm")</f>
        <v>February</v>
      </c>
      <c r="AC585">
        <f>YEAR(C585)</f>
        <v>2024</v>
      </c>
      <c r="AD585" t="str">
        <f>IF(X585&lt;0, "Invalid: Ship Date Before Order Date", IF(W585&lt;0, "Invalid: Negative Discount", IF(W585&gt;0.5, "Invalid: Exceeds Allowed Discount", "OK")))</f>
        <v>OK</v>
      </c>
    </row>
    <row r="586" spans="1:30">
      <c r="A586" t="s">
        <v>2796</v>
      </c>
      <c r="B586" t="str">
        <f t="shared" si="9"/>
        <v>Unique</v>
      </c>
      <c r="C586" s="3">
        <v>45508</v>
      </c>
      <c r="D586" s="3">
        <v>45573</v>
      </c>
      <c r="E586" t="s">
        <v>2799</v>
      </c>
      <c r="F586" t="s">
        <v>83</v>
      </c>
      <c r="G586" t="s">
        <v>26</v>
      </c>
      <c r="H586" t="s">
        <v>42</v>
      </c>
      <c r="I586" t="s">
        <v>186</v>
      </c>
      <c r="J586" t="s">
        <v>187</v>
      </c>
      <c r="K586" t="s">
        <v>30</v>
      </c>
      <c r="L586" t="s">
        <v>54</v>
      </c>
      <c r="M586" t="s">
        <v>2800</v>
      </c>
      <c r="N586" t="s">
        <v>48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137</v>
      </c>
      <c r="V586" t="s">
        <v>125</v>
      </c>
      <c r="W586">
        <f>IF(ISBLANK(Q586), 0, IFERROR(VALUE(Q586), 0.7))</f>
        <v>0.15</v>
      </c>
      <c r="X586">
        <f>D586 - C586</f>
        <v>65</v>
      </c>
      <c r="Y586">
        <f>O586 * P586 * (1 - W586)</f>
        <v>837.19049999999993</v>
      </c>
      <c r="Z586">
        <f>Y586 - S586</f>
        <v>253.40049999999997</v>
      </c>
      <c r="AA586">
        <f>IFERROR(Z586 / Y586, 0)</f>
        <v>0.30267961712417901</v>
      </c>
      <c r="AB586" t="str">
        <f>TEXT(C586, "mmmm")</f>
        <v>August</v>
      </c>
      <c r="AC586">
        <f>YEAR(C586)</f>
        <v>2024</v>
      </c>
      <c r="AD586" t="str">
        <f>IF(X586&lt;0, "Invalid: Ship Date Before Order Date", IF(W586&lt;0, "Invalid: Negative Discount", IF(W586&gt;0.5, "Invalid: Exceeds Allowed Discount", "OK")))</f>
        <v>OK</v>
      </c>
    </row>
    <row r="587" spans="1:30">
      <c r="A587" t="s">
        <v>2801</v>
      </c>
      <c r="B587" t="str">
        <f t="shared" si="9"/>
        <v>Unique</v>
      </c>
      <c r="C587" s="3">
        <v>45830</v>
      </c>
      <c r="D587" s="3">
        <v>45833</v>
      </c>
      <c r="E587" t="s">
        <v>2803</v>
      </c>
      <c r="F587" t="s">
        <v>210</v>
      </c>
      <c r="G587" t="s">
        <v>41</v>
      </c>
      <c r="H587" t="s">
        <v>73</v>
      </c>
      <c r="I587" t="s">
        <v>74</v>
      </c>
      <c r="J587" t="s">
        <v>75</v>
      </c>
      <c r="K587" t="s">
        <v>86</v>
      </c>
      <c r="L587" t="s">
        <v>223</v>
      </c>
      <c r="M587" t="s">
        <v>2804</v>
      </c>
      <c r="N587" t="s">
        <v>56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34</v>
      </c>
      <c r="V587" t="s">
        <v>35</v>
      </c>
      <c r="W587">
        <f>IF(ISBLANK(Q587), 0, IFERROR(VALUE(Q587), 0.7))</f>
        <v>0</v>
      </c>
      <c r="X587">
        <f>D587 - C587</f>
        <v>3</v>
      </c>
      <c r="Y587">
        <f>O587 * P587 * (1 - W587)</f>
        <v>27629.279999999999</v>
      </c>
      <c r="Z587">
        <f>Y587 - S587</f>
        <v>5602.7999999999993</v>
      </c>
      <c r="AA587">
        <f>IFERROR(Z587 / Y587, 0)</f>
        <v>0.20278487170132553</v>
      </c>
      <c r="AB587" t="str">
        <f>TEXT(C587, "mmmm")</f>
        <v>June</v>
      </c>
      <c r="AC587">
        <f>YEAR(C587)</f>
        <v>2025</v>
      </c>
      <c r="AD587" t="str">
        <f>IF(X587&lt;0, "Invalid: Ship Date Before Order Date", IF(W587&lt;0, "Invalid: Negative Discount", IF(W587&gt;0.5, "Invalid: Exceeds Allowed Discount", "OK")))</f>
        <v>OK</v>
      </c>
    </row>
    <row r="588" spans="1:30">
      <c r="A588" t="s">
        <v>2805</v>
      </c>
      <c r="B588" t="str">
        <f t="shared" si="9"/>
        <v>Unique</v>
      </c>
      <c r="C588" s="3">
        <v>45995</v>
      </c>
      <c r="D588" s="3">
        <v>45759</v>
      </c>
      <c r="E588" t="s">
        <v>2808</v>
      </c>
      <c r="F588" t="s">
        <v>40</v>
      </c>
      <c r="G588" t="s">
        <v>115</v>
      </c>
      <c r="H588" t="s">
        <v>27</v>
      </c>
      <c r="I588" t="s">
        <v>154</v>
      </c>
      <c r="J588" t="s">
        <v>155</v>
      </c>
      <c r="K588" t="s">
        <v>30</v>
      </c>
      <c r="L588" t="s">
        <v>198</v>
      </c>
      <c r="M588" t="s">
        <v>2809</v>
      </c>
      <c r="N588" t="s">
        <v>33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34</v>
      </c>
      <c r="V588" t="s">
        <v>35</v>
      </c>
      <c r="W588">
        <f>IF(ISBLANK(Q588), 0, IFERROR(VALUE(Q588), 0.7))</f>
        <v>0.2</v>
      </c>
      <c r="X588">
        <f>D588 - C588</f>
        <v>-236</v>
      </c>
      <c r="Y588">
        <f>O588 * P588 * (1 - W588)</f>
        <v>7471.52</v>
      </c>
      <c r="Z588">
        <f>Y588 - S588</f>
        <v>1287.2000000000007</v>
      </c>
      <c r="AA588">
        <f>IFERROR(Z588 / Y588, 0)</f>
        <v>0.17228087457438387</v>
      </c>
      <c r="AB588" t="str">
        <f>TEXT(C588, "mmmm")</f>
        <v>December</v>
      </c>
      <c r="AC588">
        <f>YEAR(C588)</f>
        <v>2025</v>
      </c>
      <c r="AD588" t="str">
        <f>IF(X588&lt;0, "Invalid: Ship Date Before Order Date", IF(W588&lt;0, "Invalid: Negative Discount", IF(W588&gt;0.5, "Invalid: Exceeds Allowed Discount", "OK")))</f>
        <v>Invalid: Ship Date Before Order Date</v>
      </c>
    </row>
    <row r="589" spans="1:30">
      <c r="A589" t="s">
        <v>2810</v>
      </c>
      <c r="B589" t="str">
        <f t="shared" si="9"/>
        <v>Unique</v>
      </c>
      <c r="C589" s="3">
        <v>45861</v>
      </c>
      <c r="D589" s="3">
        <v>45869</v>
      </c>
      <c r="E589" t="s">
        <v>2813</v>
      </c>
      <c r="F589" t="s">
        <v>366</v>
      </c>
      <c r="G589" t="s">
        <v>115</v>
      </c>
      <c r="H589" t="s">
        <v>73</v>
      </c>
      <c r="I589" t="s">
        <v>84</v>
      </c>
      <c r="J589" t="s">
        <v>85</v>
      </c>
      <c r="K589" t="s">
        <v>86</v>
      </c>
      <c r="L589" t="s">
        <v>87</v>
      </c>
      <c r="M589" t="s">
        <v>2814</v>
      </c>
      <c r="N589" t="s">
        <v>56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124</v>
      </c>
      <c r="V589" t="s">
        <v>78</v>
      </c>
      <c r="W589">
        <f>IF(ISBLANK(Q589), 0, IFERROR(VALUE(Q589), 0.7))</f>
        <v>0.15</v>
      </c>
      <c r="X589">
        <f>D589 - C589</f>
        <v>8</v>
      </c>
      <c r="Y589">
        <f>O589 * P589 * (1 - W589)</f>
        <v>3615.7640000000001</v>
      </c>
      <c r="Z589">
        <f>Y589 - S589</f>
        <v>664.24400000000014</v>
      </c>
      <c r="AA589">
        <f>IFERROR(Z589 / Y589, 0)</f>
        <v>0.18370778623826114</v>
      </c>
      <c r="AB589" t="str">
        <f>TEXT(C589, "mmmm")</f>
        <v>July</v>
      </c>
      <c r="AC589">
        <f>YEAR(C589)</f>
        <v>2025</v>
      </c>
      <c r="AD589" t="str">
        <f>IF(X589&lt;0, "Invalid: Ship Date Before Order Date", IF(W589&lt;0, "Invalid: Negative Discount", IF(W589&gt;0.5, "Invalid: Exceeds Allowed Discount", "OK")))</f>
        <v>OK</v>
      </c>
    </row>
    <row r="590" spans="1:30">
      <c r="A590" t="s">
        <v>2815</v>
      </c>
      <c r="B590" t="str">
        <f t="shared" si="9"/>
        <v>Unique</v>
      </c>
      <c r="C590" s="3">
        <v>45727</v>
      </c>
      <c r="D590" s="3">
        <v>45731</v>
      </c>
      <c r="E590" t="s">
        <v>2818</v>
      </c>
      <c r="F590" t="s">
        <v>162</v>
      </c>
      <c r="G590" t="s">
        <v>115</v>
      </c>
      <c r="H590" t="s">
        <v>62</v>
      </c>
      <c r="I590" t="s">
        <v>229</v>
      </c>
      <c r="J590" t="s">
        <v>230</v>
      </c>
      <c r="K590" t="s">
        <v>86</v>
      </c>
      <c r="L590" t="s">
        <v>87</v>
      </c>
      <c r="M590" t="s">
        <v>2819</v>
      </c>
      <c r="N590" t="s">
        <v>33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124</v>
      </c>
      <c r="V590" t="s">
        <v>78</v>
      </c>
      <c r="W590">
        <f>IF(ISBLANK(Q590), 0, IFERROR(VALUE(Q590), 0.7))</f>
        <v>0.1</v>
      </c>
      <c r="X590">
        <f>D590 - C590</f>
        <v>4</v>
      </c>
      <c r="Y590">
        <f>O590 * P590 * (1 - W590)</f>
        <v>32013.791999999998</v>
      </c>
      <c r="Z590">
        <f>Y590 - S590</f>
        <v>11116.911999999997</v>
      </c>
      <c r="AA590">
        <f>IFERROR(Z590 / Y590, 0)</f>
        <v>0.34725383359771933</v>
      </c>
      <c r="AB590" t="str">
        <f>TEXT(C590, "mmmm")</f>
        <v>March</v>
      </c>
      <c r="AC590">
        <f>YEAR(C590)</f>
        <v>2025</v>
      </c>
      <c r="AD590" t="str">
        <f>IF(X590&lt;0, "Invalid: Ship Date Before Order Date", IF(W590&lt;0, "Invalid: Negative Discount", IF(W590&gt;0.5, "Invalid: Exceeds Allowed Discount", "OK")))</f>
        <v>OK</v>
      </c>
    </row>
    <row r="591" spans="1:30">
      <c r="A591" t="s">
        <v>2820</v>
      </c>
      <c r="B591" t="str">
        <f t="shared" si="9"/>
        <v>Unique</v>
      </c>
      <c r="C591" s="3">
        <v>45632</v>
      </c>
      <c r="D591" s="3">
        <v>45638</v>
      </c>
      <c r="E591" t="s">
        <v>2823</v>
      </c>
      <c r="F591" t="s">
        <v>180</v>
      </c>
      <c r="G591" t="s">
        <v>108</v>
      </c>
      <c r="H591" t="s">
        <v>27</v>
      </c>
      <c r="I591" t="s">
        <v>174</v>
      </c>
      <c r="J591" t="s">
        <v>175</v>
      </c>
      <c r="K591" t="s">
        <v>86</v>
      </c>
      <c r="L591" t="s">
        <v>223</v>
      </c>
      <c r="M591" t="s">
        <v>2824</v>
      </c>
      <c r="N591" t="s">
        <v>56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34</v>
      </c>
      <c r="V591" t="s">
        <v>35</v>
      </c>
      <c r="W591">
        <f>IF(ISBLANK(Q591), 0, IFERROR(VALUE(Q591), 0.7))</f>
        <v>0</v>
      </c>
      <c r="X591">
        <f>D591 - C591</f>
        <v>6</v>
      </c>
      <c r="Y591">
        <f>O591 * P591 * (1 - W591)</f>
        <v>1574.25</v>
      </c>
      <c r="Z591">
        <f>Y591 - S591</f>
        <v>248.13000000000011</v>
      </c>
      <c r="AA591">
        <f>IFERROR(Z591 / Y591, 0)</f>
        <v>0.15761791329204389</v>
      </c>
      <c r="AB591" t="str">
        <f>TEXT(C591, "mmmm")</f>
        <v>December</v>
      </c>
      <c r="AC591">
        <f>YEAR(C591)</f>
        <v>2024</v>
      </c>
      <c r="AD591" t="str">
        <f>IF(X591&lt;0, "Invalid: Ship Date Before Order Date", IF(W591&lt;0, "Invalid: Negative Discount", IF(W591&gt;0.5, "Invalid: Exceeds Allowed Discount", "OK")))</f>
        <v>OK</v>
      </c>
    </row>
    <row r="592" spans="1:30">
      <c r="A592" t="s">
        <v>2825</v>
      </c>
      <c r="B592" t="str">
        <f t="shared" si="9"/>
        <v>Unique</v>
      </c>
      <c r="C592" s="3">
        <v>45441</v>
      </c>
      <c r="D592" s="3">
        <v>45441</v>
      </c>
      <c r="E592" t="s">
        <v>2827</v>
      </c>
      <c r="F592" t="s">
        <v>162</v>
      </c>
      <c r="G592" t="s">
        <v>115</v>
      </c>
      <c r="H592" t="s">
        <v>27</v>
      </c>
      <c r="I592" t="s">
        <v>506</v>
      </c>
      <c r="J592" t="s">
        <v>507</v>
      </c>
      <c r="K592" t="s">
        <v>45</v>
      </c>
      <c r="L592" t="s">
        <v>76</v>
      </c>
      <c r="M592" t="s">
        <v>2828</v>
      </c>
      <c r="N592" t="s">
        <v>48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137</v>
      </c>
      <c r="V592" t="s">
        <v>78</v>
      </c>
      <c r="W592">
        <f>IF(ISBLANK(Q592), 0, IFERROR(VALUE(Q592), 0.7))</f>
        <v>0</v>
      </c>
      <c r="X592">
        <f>D592 - C592</f>
        <v>0</v>
      </c>
      <c r="Y592">
        <f>O592 * P592 * (1 - W592)</f>
        <v>20582.099999999999</v>
      </c>
      <c r="Z592">
        <f>Y592 - S592</f>
        <v>4684.4499999999989</v>
      </c>
      <c r="AA592">
        <f>IFERROR(Z592 / Y592, 0)</f>
        <v>0.22759825285077806</v>
      </c>
      <c r="AB592" t="str">
        <f>TEXT(C592, "mmmm")</f>
        <v>May</v>
      </c>
      <c r="AC592">
        <f>YEAR(C592)</f>
        <v>2024</v>
      </c>
      <c r="AD592" t="str">
        <f>IF(X592&lt;0, "Invalid: Ship Date Before Order Date", IF(W592&lt;0, "Invalid: Negative Discount", IF(W592&gt;0.5, "Invalid: Exceeds Allowed Discount", "OK")))</f>
        <v>OK</v>
      </c>
    </row>
    <row r="593" spans="1:30">
      <c r="A593" t="s">
        <v>2829</v>
      </c>
      <c r="B593" t="str">
        <f t="shared" si="9"/>
        <v>Unique</v>
      </c>
      <c r="C593" s="3">
        <v>45344</v>
      </c>
      <c r="D593" s="3">
        <v>45346</v>
      </c>
      <c r="E593" t="s">
        <v>2832</v>
      </c>
      <c r="F593" t="s">
        <v>168</v>
      </c>
      <c r="G593" t="s">
        <v>26</v>
      </c>
      <c r="H593" t="s">
        <v>62</v>
      </c>
      <c r="I593" t="s">
        <v>229</v>
      </c>
      <c r="J593" t="s">
        <v>230</v>
      </c>
      <c r="K593" t="s">
        <v>86</v>
      </c>
      <c r="L593" t="s">
        <v>94</v>
      </c>
      <c r="M593" t="s">
        <v>2833</v>
      </c>
      <c r="N593" t="s">
        <v>56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200</v>
      </c>
      <c r="V593" t="s">
        <v>125</v>
      </c>
      <c r="W593">
        <f>IF(ISBLANK(Q593), 0, IFERROR(VALUE(Q593), 0.7))</f>
        <v>0</v>
      </c>
      <c r="X593">
        <f>D593 - C593</f>
        <v>2</v>
      </c>
      <c r="Y593">
        <f>O593 * P593 * (1 - W593)</f>
        <v>10635.24</v>
      </c>
      <c r="Z593">
        <f>Y593 - S593</f>
        <v>4603.3599999999997</v>
      </c>
      <c r="AA593">
        <f>IFERROR(Z593 / Y593, 0)</f>
        <v>0.43284025560307055</v>
      </c>
      <c r="AB593" t="str">
        <f>TEXT(C593, "mmmm")</f>
        <v>February</v>
      </c>
      <c r="AC593">
        <f>YEAR(C593)</f>
        <v>2024</v>
      </c>
      <c r="AD593" t="str">
        <f>IF(X593&lt;0, "Invalid: Ship Date Before Order Date", IF(W593&lt;0, "Invalid: Negative Discount", IF(W593&gt;0.5, "Invalid: Exceeds Allowed Discount", "OK")))</f>
        <v>OK</v>
      </c>
    </row>
    <row r="594" spans="1:30">
      <c r="A594" t="s">
        <v>2834</v>
      </c>
      <c r="B594" t="str">
        <f t="shared" si="9"/>
        <v>Unique</v>
      </c>
      <c r="C594" s="3">
        <v>45385</v>
      </c>
      <c r="D594" s="3">
        <v>45360</v>
      </c>
      <c r="E594" t="s">
        <v>2835</v>
      </c>
      <c r="F594" t="s">
        <v>40</v>
      </c>
      <c r="G594" t="s">
        <v>26</v>
      </c>
      <c r="H594" t="s">
        <v>42</v>
      </c>
      <c r="I594" t="s">
        <v>121</v>
      </c>
      <c r="J594" t="s">
        <v>122</v>
      </c>
      <c r="K594" t="s">
        <v>86</v>
      </c>
      <c r="L594" t="s">
        <v>87</v>
      </c>
      <c r="M594" t="s">
        <v>2836</v>
      </c>
      <c r="N594" t="s">
        <v>48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34</v>
      </c>
      <c r="V594" t="s">
        <v>35</v>
      </c>
      <c r="W594">
        <f>IF(ISBLANK(Q594), 0, IFERROR(VALUE(Q594), 0.7))</f>
        <v>0.15</v>
      </c>
      <c r="X594">
        <f>D594 - C594</f>
        <v>-25</v>
      </c>
      <c r="Y594">
        <f>O594 * P594 * (1 - W594)</f>
        <v>29929.588</v>
      </c>
      <c r="Z594">
        <f>Y594 - S594</f>
        <v>7493.5580000000009</v>
      </c>
      <c r="AA594">
        <f>IFERROR(Z594 / Y594, 0)</f>
        <v>0.25037290857461858</v>
      </c>
      <c r="AB594" t="str">
        <f>TEXT(C594, "mmmm")</f>
        <v>April</v>
      </c>
      <c r="AC594">
        <f>YEAR(C594)</f>
        <v>2024</v>
      </c>
      <c r="AD594" t="str">
        <f>IF(X594&lt;0, "Invalid: Ship Date Before Order Date", IF(W594&lt;0, "Invalid: Negative Discount", IF(W594&gt;0.5, "Invalid: Exceeds Allowed Discount", "OK")))</f>
        <v>Invalid: Ship Date Before Order Date</v>
      </c>
    </row>
    <row r="595" spans="1:30">
      <c r="A595" t="s">
        <v>2837</v>
      </c>
      <c r="B595" t="str">
        <f t="shared" si="9"/>
        <v>Unique</v>
      </c>
      <c r="C595" s="3">
        <v>45927</v>
      </c>
      <c r="D595" s="3">
        <v>45929</v>
      </c>
      <c r="E595" t="s">
        <v>2529</v>
      </c>
      <c r="F595" t="s">
        <v>61</v>
      </c>
      <c r="G595" t="s">
        <v>115</v>
      </c>
      <c r="H595" t="s">
        <v>27</v>
      </c>
      <c r="I595" t="s">
        <v>174</v>
      </c>
      <c r="J595" t="s">
        <v>175</v>
      </c>
      <c r="K595" t="s">
        <v>45</v>
      </c>
      <c r="L595" t="s">
        <v>46</v>
      </c>
      <c r="M595" t="s">
        <v>2839</v>
      </c>
      <c r="N595" t="s">
        <v>33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34</v>
      </c>
      <c r="V595" t="s">
        <v>35</v>
      </c>
      <c r="W595">
        <f>IF(ISBLANK(Q595), 0, IFERROR(VALUE(Q595), 0.7))</f>
        <v>0.25</v>
      </c>
      <c r="X595">
        <f>D595 - C595</f>
        <v>2</v>
      </c>
      <c r="Y595">
        <f>O595 * P595 * (1 - W595)</f>
        <v>27675.7425</v>
      </c>
      <c r="Z595">
        <f>Y595 - S595</f>
        <v>12104.6625</v>
      </c>
      <c r="AA595">
        <f>IFERROR(Z595 / Y595, 0)</f>
        <v>0.4373744444254748</v>
      </c>
      <c r="AB595" t="str">
        <f>TEXT(C595, "mmmm")</f>
        <v>September</v>
      </c>
      <c r="AC595">
        <f>YEAR(C595)</f>
        <v>2025</v>
      </c>
      <c r="AD595" t="str">
        <f>IF(X595&lt;0, "Invalid: Ship Date Before Order Date", IF(W595&lt;0, "Invalid: Negative Discount", IF(W595&gt;0.5, "Invalid: Exceeds Allowed Discount", "OK")))</f>
        <v>OK</v>
      </c>
    </row>
    <row r="596" spans="1:30">
      <c r="A596" t="s">
        <v>2840</v>
      </c>
      <c r="B596" t="str">
        <f t="shared" si="9"/>
        <v>Unique</v>
      </c>
      <c r="C596" s="3">
        <v>45554</v>
      </c>
      <c r="D596" s="3">
        <v>45556</v>
      </c>
      <c r="E596" t="s">
        <v>2842</v>
      </c>
      <c r="F596" t="s">
        <v>25</v>
      </c>
      <c r="G596" t="s">
        <v>41</v>
      </c>
      <c r="H596" t="s">
        <v>42</v>
      </c>
      <c r="I596" t="s">
        <v>121</v>
      </c>
      <c r="J596" t="s">
        <v>122</v>
      </c>
      <c r="K596" t="s">
        <v>45</v>
      </c>
      <c r="L596" t="s">
        <v>76</v>
      </c>
      <c r="M596" t="s">
        <v>2843</v>
      </c>
      <c r="N596" t="s">
        <v>56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34</v>
      </c>
      <c r="V596" t="s">
        <v>35</v>
      </c>
      <c r="W596">
        <f>IF(ISBLANK(Q596), 0, IFERROR(VALUE(Q596), 0.7))</f>
        <v>0</v>
      </c>
      <c r="X596">
        <f>D596 - C596</f>
        <v>2</v>
      </c>
      <c r="Y596">
        <f>O596 * P596 * (1 - W596)</f>
        <v>11945.28</v>
      </c>
      <c r="Z596">
        <f>Y596 - S596</f>
        <v>2244.9700000000012</v>
      </c>
      <c r="AA596">
        <f>IFERROR(Z596 / Y596, 0)</f>
        <v>0.18793782983739193</v>
      </c>
      <c r="AB596" t="str">
        <f>TEXT(C596, "mmmm")</f>
        <v>September</v>
      </c>
      <c r="AC596">
        <f>YEAR(C596)</f>
        <v>2024</v>
      </c>
      <c r="AD596" t="str">
        <f>IF(X596&lt;0, "Invalid: Ship Date Before Order Date", IF(W596&lt;0, "Invalid: Negative Discount", IF(W596&gt;0.5, "Invalid: Exceeds Allowed Discount", "OK")))</f>
        <v>OK</v>
      </c>
    </row>
    <row r="597" spans="1:30">
      <c r="A597" t="s">
        <v>2844</v>
      </c>
      <c r="B597" t="str">
        <f t="shared" si="9"/>
        <v>Unique</v>
      </c>
      <c r="C597" s="3">
        <v>45699</v>
      </c>
      <c r="D597" s="3">
        <v>45704</v>
      </c>
      <c r="E597" t="s">
        <v>2847</v>
      </c>
      <c r="F597" t="s">
        <v>40</v>
      </c>
      <c r="G597" t="s">
        <v>108</v>
      </c>
      <c r="H597" t="s">
        <v>27</v>
      </c>
      <c r="I597" t="s">
        <v>174</v>
      </c>
      <c r="J597" t="s">
        <v>175</v>
      </c>
      <c r="K597" t="s">
        <v>86</v>
      </c>
      <c r="L597" t="s">
        <v>223</v>
      </c>
      <c r="M597" t="s">
        <v>2848</v>
      </c>
      <c r="N597" t="s">
        <v>56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34</v>
      </c>
      <c r="V597" t="s">
        <v>35</v>
      </c>
      <c r="W597">
        <f>IF(ISBLANK(Q597), 0, IFERROR(VALUE(Q597), 0.7))</f>
        <v>0.1</v>
      </c>
      <c r="X597">
        <f>D597 - C597</f>
        <v>5</v>
      </c>
      <c r="Y597">
        <f>O597 * P597 * (1 - W597)</f>
        <v>13144.031999999999</v>
      </c>
      <c r="Z597">
        <f>Y597 - S597</f>
        <v>3380.0319999999992</v>
      </c>
      <c r="AA597">
        <f>IFERROR(Z597 / Y597, 0)</f>
        <v>0.25715336055176974</v>
      </c>
      <c r="AB597" t="str">
        <f>TEXT(C597, "mmmm")</f>
        <v>February</v>
      </c>
      <c r="AC597">
        <f>YEAR(C597)</f>
        <v>2025</v>
      </c>
      <c r="AD597" t="str">
        <f>IF(X597&lt;0, "Invalid: Ship Date Before Order Date", IF(W597&lt;0, "Invalid: Negative Discount", IF(W597&gt;0.5, "Invalid: Exceeds Allowed Discount", "OK")))</f>
        <v>OK</v>
      </c>
    </row>
    <row r="598" spans="1:30">
      <c r="A598" t="s">
        <v>2849</v>
      </c>
      <c r="B598" t="str">
        <f t="shared" si="9"/>
        <v>Unique</v>
      </c>
      <c r="C598" s="3">
        <v>45392</v>
      </c>
      <c r="D598" s="3">
        <v>45398</v>
      </c>
      <c r="E598" t="s">
        <v>2850</v>
      </c>
      <c r="F598" t="s">
        <v>107</v>
      </c>
      <c r="G598" t="s">
        <v>26</v>
      </c>
      <c r="H598" t="s">
        <v>62</v>
      </c>
      <c r="I598" t="s">
        <v>242</v>
      </c>
      <c r="J598" t="s">
        <v>243</v>
      </c>
      <c r="K598" t="s">
        <v>45</v>
      </c>
      <c r="L598" t="s">
        <v>76</v>
      </c>
      <c r="M598" t="s">
        <v>2851</v>
      </c>
      <c r="N598" t="s">
        <v>33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34</v>
      </c>
      <c r="V598" t="s">
        <v>35</v>
      </c>
      <c r="W598">
        <f>IF(ISBLANK(Q598), 0, IFERROR(VALUE(Q598), 0.7))</f>
        <v>0.25</v>
      </c>
      <c r="X598">
        <f>D598 - C598</f>
        <v>6</v>
      </c>
      <c r="Y598">
        <f>O598 * P598 * (1 - W598)</f>
        <v>18382.005000000005</v>
      </c>
      <c r="Z598">
        <f>Y598 - S598</f>
        <v>5273.8050000000039</v>
      </c>
      <c r="AA598">
        <f>IFERROR(Z598 / Y598, 0)</f>
        <v>0.28690042245119629</v>
      </c>
      <c r="AB598" t="str">
        <f>TEXT(C598, "mmmm")</f>
        <v>April</v>
      </c>
      <c r="AC598">
        <f>YEAR(C598)</f>
        <v>2024</v>
      </c>
      <c r="AD598" t="str">
        <f>IF(X598&lt;0, "Invalid: Ship Date Before Order Date", IF(W598&lt;0, "Invalid: Negative Discount", IF(W598&gt;0.5, "Invalid: Exceeds Allowed Discount", "OK")))</f>
        <v>OK</v>
      </c>
    </row>
    <row r="599" spans="1:30">
      <c r="A599" t="s">
        <v>2852</v>
      </c>
      <c r="B599" t="str">
        <f t="shared" si="9"/>
        <v>Unique</v>
      </c>
      <c r="C599" s="3">
        <v>45846</v>
      </c>
      <c r="D599" s="3">
        <v>45846</v>
      </c>
      <c r="E599" t="s">
        <v>2854</v>
      </c>
      <c r="F599" t="s">
        <v>107</v>
      </c>
      <c r="G599" t="s">
        <v>26</v>
      </c>
      <c r="H599" t="s">
        <v>62</v>
      </c>
      <c r="I599" t="s">
        <v>63</v>
      </c>
      <c r="J599" t="s">
        <v>64</v>
      </c>
      <c r="K599" t="s">
        <v>86</v>
      </c>
      <c r="L599" t="s">
        <v>94</v>
      </c>
      <c r="M599" t="s">
        <v>2855</v>
      </c>
      <c r="N599" t="s">
        <v>48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34</v>
      </c>
      <c r="V599" t="s">
        <v>35</v>
      </c>
      <c r="W599">
        <f>IF(ISBLANK(Q599), 0, IFERROR(VALUE(Q599), 0.7))</f>
        <v>0.25</v>
      </c>
      <c r="X599">
        <f>D599 - C599</f>
        <v>0</v>
      </c>
      <c r="Y599">
        <f>O599 * P599 * (1 - W599)</f>
        <v>1855.44</v>
      </c>
      <c r="Z599">
        <f>Y599 - S599</f>
        <v>592.70000000000005</v>
      </c>
      <c r="AA599">
        <f>IFERROR(Z599 / Y599, 0)</f>
        <v>0.3194390548872505</v>
      </c>
      <c r="AB599" t="str">
        <f>TEXT(C599, "mmmm")</f>
        <v>July</v>
      </c>
      <c r="AC599">
        <f>YEAR(C599)</f>
        <v>2025</v>
      </c>
      <c r="AD599" t="str">
        <f>IF(X599&lt;0, "Invalid: Ship Date Before Order Date", IF(W599&lt;0, "Invalid: Negative Discount", IF(W599&gt;0.5, "Invalid: Exceeds Allowed Discount", "OK")))</f>
        <v>OK</v>
      </c>
    </row>
    <row r="600" spans="1:30">
      <c r="A600" t="s">
        <v>2856</v>
      </c>
      <c r="B600" t="str">
        <f t="shared" si="9"/>
        <v>Unique</v>
      </c>
      <c r="C600" s="3">
        <v>45521</v>
      </c>
      <c r="D600" s="3">
        <v>45528</v>
      </c>
      <c r="E600" t="s">
        <v>2858</v>
      </c>
      <c r="F600" t="s">
        <v>72</v>
      </c>
      <c r="G600" t="s">
        <v>108</v>
      </c>
      <c r="H600" t="s">
        <v>42</v>
      </c>
      <c r="I600" t="s">
        <v>121</v>
      </c>
      <c r="J600" t="s">
        <v>122</v>
      </c>
      <c r="K600" t="s">
        <v>86</v>
      </c>
      <c r="L600" t="s">
        <v>94</v>
      </c>
      <c r="M600" t="s">
        <v>2859</v>
      </c>
      <c r="N600" t="s">
        <v>48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34</v>
      </c>
      <c r="V600" t="s">
        <v>35</v>
      </c>
      <c r="W600">
        <f>IF(ISBLANK(Q600), 0, IFERROR(VALUE(Q600), 0.7))</f>
        <v>0.25</v>
      </c>
      <c r="X600">
        <f>D600 - C600</f>
        <v>7</v>
      </c>
      <c r="Y600">
        <f>O600 * P600 * (1 - W600)</f>
        <v>3354.0524999999998</v>
      </c>
      <c r="Z600">
        <f>Y600 - S600</f>
        <v>681.38249999999971</v>
      </c>
      <c r="AA600">
        <f>IFERROR(Z600 / Y600, 0)</f>
        <v>0.20315200790685289</v>
      </c>
      <c r="AB600" t="str">
        <f>TEXT(C600, "mmmm")</f>
        <v>August</v>
      </c>
      <c r="AC600">
        <f>YEAR(C600)</f>
        <v>2024</v>
      </c>
      <c r="AD600" t="str">
        <f>IF(X600&lt;0, "Invalid: Ship Date Before Order Date", IF(W600&lt;0, "Invalid: Negative Discount", IF(W600&gt;0.5, "Invalid: Exceeds Allowed Discount", "OK")))</f>
        <v>OK</v>
      </c>
    </row>
    <row r="601" spans="1:30">
      <c r="A601" t="s">
        <v>2860</v>
      </c>
      <c r="B601" t="str">
        <f t="shared" si="9"/>
        <v>Unique</v>
      </c>
      <c r="C601" s="3">
        <v>45523</v>
      </c>
      <c r="D601" s="3">
        <v>45525</v>
      </c>
      <c r="E601" t="s">
        <v>2862</v>
      </c>
      <c r="F601" t="s">
        <v>61</v>
      </c>
      <c r="G601" t="s">
        <v>26</v>
      </c>
      <c r="H601" t="s">
        <v>27</v>
      </c>
      <c r="I601" t="s">
        <v>154</v>
      </c>
      <c r="J601" t="s">
        <v>155</v>
      </c>
      <c r="K601" t="s">
        <v>86</v>
      </c>
      <c r="L601" t="s">
        <v>223</v>
      </c>
      <c r="M601" t="s">
        <v>2863</v>
      </c>
      <c r="N601" t="s">
        <v>56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34</v>
      </c>
      <c r="V601" t="s">
        <v>35</v>
      </c>
      <c r="W601">
        <f>IF(ISBLANK(Q601), 0, IFERROR(VALUE(Q601), 0.7))</f>
        <v>0.25</v>
      </c>
      <c r="X601">
        <f>D601 - C601</f>
        <v>2</v>
      </c>
      <c r="Y601">
        <f>O601 * P601 * (1 - W601)</f>
        <v>2482.9650000000001</v>
      </c>
      <c r="Z601">
        <f>Y601 - S601</f>
        <v>861.24500000000012</v>
      </c>
      <c r="AA601">
        <f>IFERROR(Z601 / Y601, 0)</f>
        <v>0.34686151435884116</v>
      </c>
      <c r="AB601" t="str">
        <f>TEXT(C601, "mmmm")</f>
        <v>August</v>
      </c>
      <c r="AC601">
        <f>YEAR(C601)</f>
        <v>2024</v>
      </c>
      <c r="AD601" t="str">
        <f>IF(X601&lt;0, "Invalid: Ship Date Before Order Date", IF(W601&lt;0, "Invalid: Negative Discount", IF(W601&gt;0.5, "Invalid: Exceeds Allowed Discount", "OK")))</f>
        <v>OK</v>
      </c>
    </row>
    <row r="602" spans="1:30">
      <c r="A602" t="s">
        <v>2864</v>
      </c>
      <c r="B602" t="str">
        <f t="shared" si="9"/>
        <v>Unique</v>
      </c>
      <c r="C602" s="3">
        <v>45780</v>
      </c>
      <c r="D602" s="3">
        <v>45728</v>
      </c>
      <c r="E602" t="s">
        <v>2867</v>
      </c>
      <c r="F602" t="s">
        <v>72</v>
      </c>
      <c r="G602" t="s">
        <v>108</v>
      </c>
      <c r="H602" t="s">
        <v>73</v>
      </c>
      <c r="I602" t="s">
        <v>84</v>
      </c>
      <c r="J602" t="s">
        <v>85</v>
      </c>
      <c r="K602" t="s">
        <v>30</v>
      </c>
      <c r="L602" t="s">
        <v>156</v>
      </c>
      <c r="M602" t="s">
        <v>2868</v>
      </c>
      <c r="N602" t="s">
        <v>48</v>
      </c>
      <c r="O602">
        <v>3</v>
      </c>
      <c r="P602">
        <v>3682.75</v>
      </c>
      <c r="R602">
        <v>11048.25</v>
      </c>
      <c r="S602">
        <v>9062.7199999999993</v>
      </c>
      <c r="T602">
        <v>1985.53</v>
      </c>
      <c r="U602" t="s">
        <v>34</v>
      </c>
      <c r="V602" t="s">
        <v>35</v>
      </c>
      <c r="W602">
        <f>IF(ISBLANK(Q602), 0, IFERROR(VALUE(Q602), 0.7))</f>
        <v>0</v>
      </c>
      <c r="X602">
        <f>D602 - C602</f>
        <v>-52</v>
      </c>
      <c r="Y602">
        <f>O602 * P602 * (1 - W602)</f>
        <v>11048.25</v>
      </c>
      <c r="Z602">
        <f>Y602 - S602</f>
        <v>1985.5300000000007</v>
      </c>
      <c r="AA602">
        <f>IFERROR(Z602 / Y602, 0)</f>
        <v>0.17971443441268986</v>
      </c>
      <c r="AB602" t="str">
        <f>TEXT(C602, "mmmm")</f>
        <v>May</v>
      </c>
      <c r="AC602">
        <f>YEAR(C602)</f>
        <v>2025</v>
      </c>
      <c r="AD602" t="str">
        <f>IF(X602&lt;0, "Invalid: Ship Date Before Order Date", IF(W602&lt;0, "Invalid: Negative Discount", IF(W602&gt;0.5, "Invalid: Exceeds Allowed Discount", "OK")))</f>
        <v>Invalid: Ship Date Before Order Date</v>
      </c>
    </row>
    <row r="603" spans="1:30">
      <c r="A603" t="s">
        <v>2869</v>
      </c>
      <c r="B603" t="str">
        <f t="shared" si="9"/>
        <v>Unique</v>
      </c>
      <c r="C603" s="3">
        <v>45317</v>
      </c>
      <c r="D603" s="3">
        <v>45322</v>
      </c>
      <c r="E603" t="s">
        <v>2872</v>
      </c>
      <c r="F603" t="s">
        <v>72</v>
      </c>
      <c r="G603" t="s">
        <v>115</v>
      </c>
      <c r="H603" t="s">
        <v>42</v>
      </c>
      <c r="I603" t="s">
        <v>121</v>
      </c>
      <c r="J603" t="s">
        <v>122</v>
      </c>
      <c r="K603" t="s">
        <v>30</v>
      </c>
      <c r="L603" t="s">
        <v>31</v>
      </c>
      <c r="M603" t="s">
        <v>2873</v>
      </c>
      <c r="N603" t="s">
        <v>33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34</v>
      </c>
      <c r="V603" t="s">
        <v>35</v>
      </c>
      <c r="W603">
        <f>IF(ISBLANK(Q603), 0, IFERROR(VALUE(Q603), 0.7))</f>
        <v>0.2</v>
      </c>
      <c r="X603">
        <f>D603 - C603</f>
        <v>5</v>
      </c>
      <c r="Y603">
        <f>O603 * P603 * (1 - W603)</f>
        <v>6460.12</v>
      </c>
      <c r="Z603">
        <f>Y603 - S603</f>
        <v>2856.0899999999997</v>
      </c>
      <c r="AA603">
        <f>IFERROR(Z603 / Y603, 0)</f>
        <v>0.44211098245853014</v>
      </c>
      <c r="AB603" t="str">
        <f>TEXT(C603, "mmmm")</f>
        <v>January</v>
      </c>
      <c r="AC603">
        <f>YEAR(C603)</f>
        <v>2024</v>
      </c>
      <c r="AD603" t="str">
        <f>IF(X603&lt;0, "Invalid: Ship Date Before Order Date", IF(W603&lt;0, "Invalid: Negative Discount", IF(W603&gt;0.5, "Invalid: Exceeds Allowed Discount", "OK")))</f>
        <v>OK</v>
      </c>
    </row>
    <row r="604" spans="1:30">
      <c r="A604" t="s">
        <v>2874</v>
      </c>
      <c r="B604" t="str">
        <f t="shared" si="9"/>
        <v>Unique</v>
      </c>
      <c r="C604" s="3">
        <v>45588</v>
      </c>
      <c r="D604" s="3">
        <v>45595</v>
      </c>
      <c r="E604" t="s">
        <v>2877</v>
      </c>
      <c r="F604" t="s">
        <v>162</v>
      </c>
      <c r="G604" t="s">
        <v>26</v>
      </c>
      <c r="H604" t="s">
        <v>42</v>
      </c>
      <c r="I604" t="s">
        <v>311</v>
      </c>
      <c r="J604" t="s">
        <v>312</v>
      </c>
      <c r="K604" t="s">
        <v>86</v>
      </c>
      <c r="L604" t="s">
        <v>94</v>
      </c>
      <c r="M604" t="s">
        <v>2878</v>
      </c>
      <c r="N604" t="s">
        <v>33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34</v>
      </c>
      <c r="V604" t="s">
        <v>35</v>
      </c>
      <c r="W604">
        <f>IF(ISBLANK(Q604), 0, IFERROR(VALUE(Q604), 0.7))</f>
        <v>0.15</v>
      </c>
      <c r="X604">
        <f>D604 - C604</f>
        <v>7</v>
      </c>
      <c r="Y604">
        <f>O604 * P604 * (1 - W604)</f>
        <v>26192.223000000002</v>
      </c>
      <c r="Z604">
        <f>Y604 - S604</f>
        <v>5396.6730000000025</v>
      </c>
      <c r="AA604">
        <f>IFERROR(Z604 / Y604, 0)</f>
        <v>0.20604104508426041</v>
      </c>
      <c r="AB604" t="str">
        <f>TEXT(C604, "mmmm")</f>
        <v>October</v>
      </c>
      <c r="AC604">
        <f>YEAR(C604)</f>
        <v>2024</v>
      </c>
      <c r="AD604" t="str">
        <f>IF(X604&lt;0, "Invalid: Ship Date Before Order Date", IF(W604&lt;0, "Invalid: Negative Discount", IF(W604&gt;0.5, "Invalid: Exceeds Allowed Discount", "OK")))</f>
        <v>OK</v>
      </c>
    </row>
    <row r="605" spans="1:30">
      <c r="A605" t="s">
        <v>2879</v>
      </c>
      <c r="B605" t="str">
        <f t="shared" si="9"/>
        <v>Unique</v>
      </c>
      <c r="C605" s="3">
        <v>45660</v>
      </c>
      <c r="D605" s="3">
        <v>45962</v>
      </c>
      <c r="E605" t="s">
        <v>480</v>
      </c>
      <c r="F605" t="s">
        <v>83</v>
      </c>
      <c r="G605" t="s">
        <v>108</v>
      </c>
      <c r="H605" t="s">
        <v>42</v>
      </c>
      <c r="I605" t="s">
        <v>186</v>
      </c>
      <c r="J605" t="s">
        <v>187</v>
      </c>
      <c r="K605" t="s">
        <v>86</v>
      </c>
      <c r="L605" t="s">
        <v>87</v>
      </c>
      <c r="M605" t="s">
        <v>2881</v>
      </c>
      <c r="N605" t="s">
        <v>56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137</v>
      </c>
      <c r="V605" t="s">
        <v>78</v>
      </c>
      <c r="W605">
        <f>IF(ISBLANK(Q605), 0, IFERROR(VALUE(Q605), 0.7))</f>
        <v>0.05</v>
      </c>
      <c r="X605">
        <f>D605 - C605</f>
        <v>302</v>
      </c>
      <c r="Y605">
        <f>O605 * P605 * (1 - W605)</f>
        <v>19564.603999999999</v>
      </c>
      <c r="Z605">
        <f>Y605 - S605</f>
        <v>8410.0139999999992</v>
      </c>
      <c r="AA605">
        <f>IFERROR(Z605 / Y605, 0)</f>
        <v>0.42985863654587642</v>
      </c>
      <c r="AB605" t="str">
        <f>TEXT(C605, "mmmm")</f>
        <v>January</v>
      </c>
      <c r="AC605">
        <f>YEAR(C605)</f>
        <v>2025</v>
      </c>
      <c r="AD605" t="str">
        <f>IF(X605&lt;0, "Invalid: Ship Date Before Order Date", IF(W605&lt;0, "Invalid: Negative Discount", IF(W605&gt;0.5, "Invalid: Exceeds Allowed Discount", "OK")))</f>
        <v>OK</v>
      </c>
    </row>
    <row r="606" spans="1:30">
      <c r="A606" t="s">
        <v>2882</v>
      </c>
      <c r="B606" t="str">
        <f t="shared" si="9"/>
        <v>Unique</v>
      </c>
      <c r="C606" s="3">
        <v>45779</v>
      </c>
      <c r="D606" s="3">
        <v>45694</v>
      </c>
      <c r="E606" t="s">
        <v>2885</v>
      </c>
      <c r="F606" t="s">
        <v>72</v>
      </c>
      <c r="G606" t="s">
        <v>26</v>
      </c>
      <c r="H606" t="s">
        <v>73</v>
      </c>
      <c r="I606" t="s">
        <v>84</v>
      </c>
      <c r="J606" t="s">
        <v>85</v>
      </c>
      <c r="K606" t="s">
        <v>30</v>
      </c>
      <c r="L606" t="s">
        <v>198</v>
      </c>
      <c r="M606" t="s">
        <v>2886</v>
      </c>
      <c r="N606" t="s">
        <v>48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34</v>
      </c>
      <c r="V606" t="s">
        <v>35</v>
      </c>
      <c r="W606">
        <f>IF(ISBLANK(Q606), 0, IFERROR(VALUE(Q606), 0.7))</f>
        <v>0</v>
      </c>
      <c r="X606">
        <f>D606 - C606</f>
        <v>-85</v>
      </c>
      <c r="Y606">
        <f>O606 * P606 * (1 - W606)</f>
        <v>3228.8999999999996</v>
      </c>
      <c r="Z606">
        <f>Y606 - S606</f>
        <v>1375.6699999999996</v>
      </c>
      <c r="AA606">
        <f>IFERROR(Z606 / Y606, 0)</f>
        <v>0.42604911889497965</v>
      </c>
      <c r="AB606" t="str">
        <f>TEXT(C606, "mmmm")</f>
        <v>May</v>
      </c>
      <c r="AC606">
        <f>YEAR(C606)</f>
        <v>2025</v>
      </c>
      <c r="AD606" t="str">
        <f>IF(X606&lt;0, "Invalid: Ship Date Before Order Date", IF(W606&lt;0, "Invalid: Negative Discount", IF(W606&gt;0.5, "Invalid: Exceeds Allowed Discount", "OK")))</f>
        <v>Invalid: Ship Date Before Order Date</v>
      </c>
    </row>
    <row r="607" spans="1:30">
      <c r="A607" t="s">
        <v>2887</v>
      </c>
      <c r="B607" t="str">
        <f t="shared" si="9"/>
        <v>Unique</v>
      </c>
      <c r="C607" s="3">
        <v>45847</v>
      </c>
      <c r="D607" s="3">
        <v>45851</v>
      </c>
      <c r="E607" t="s">
        <v>2889</v>
      </c>
      <c r="F607" t="s">
        <v>366</v>
      </c>
      <c r="G607" t="s">
        <v>108</v>
      </c>
      <c r="H607" t="s">
        <v>73</v>
      </c>
      <c r="I607" t="s">
        <v>249</v>
      </c>
      <c r="J607" t="s">
        <v>250</v>
      </c>
      <c r="K607" t="s">
        <v>45</v>
      </c>
      <c r="L607" t="s">
        <v>65</v>
      </c>
      <c r="M607" t="s">
        <v>2890</v>
      </c>
      <c r="N607" t="s">
        <v>33</v>
      </c>
      <c r="O607">
        <v>5</v>
      </c>
      <c r="P607">
        <v>1680.01</v>
      </c>
      <c r="Q607" t="s">
        <v>1170</v>
      </c>
      <c r="R607">
        <v>7560.04</v>
      </c>
      <c r="S607">
        <v>6448.05</v>
      </c>
      <c r="T607">
        <v>1111.99</v>
      </c>
      <c r="U607" t="s">
        <v>34</v>
      </c>
      <c r="V607" t="s">
        <v>78</v>
      </c>
      <c r="W607">
        <f>IF(ISBLANK(Q607), 0, IFERROR(VALUE(Q607), 0.7))</f>
        <v>0.85</v>
      </c>
      <c r="X607">
        <f>D607 - C607</f>
        <v>4</v>
      </c>
      <c r="Y607">
        <f>O607 * P607 * (1 - W607)</f>
        <v>1260.0075000000002</v>
      </c>
      <c r="Z607">
        <f>Y607 - S607</f>
        <v>-5188.0424999999996</v>
      </c>
      <c r="AA607">
        <f>IFERROR(Z607 / Y607, 0)</f>
        <v>-4.1174695388717915</v>
      </c>
      <c r="AB607" t="str">
        <f>TEXT(C607, "mmmm")</f>
        <v>July</v>
      </c>
      <c r="AC607">
        <f>YEAR(C607)</f>
        <v>2025</v>
      </c>
      <c r="AD607" t="str">
        <f>IF(X607&lt;0, "Invalid: Ship Date Before Order Date", IF(W607&lt;0, "Invalid: Negative Discount", IF(W607&gt;0.5, "Invalid: Exceeds Allowed Discount", "OK")))</f>
        <v>Invalid: Exceeds Allowed Discount</v>
      </c>
    </row>
    <row r="608" spans="1:30">
      <c r="A608" t="s">
        <v>2891</v>
      </c>
      <c r="B608" t="str">
        <f t="shared" si="9"/>
        <v>Unique</v>
      </c>
      <c r="C608" s="3">
        <v>45710</v>
      </c>
      <c r="D608" s="3">
        <v>45716</v>
      </c>
      <c r="E608" t="s">
        <v>2893</v>
      </c>
      <c r="F608" t="s">
        <v>148</v>
      </c>
      <c r="G608" t="s">
        <v>115</v>
      </c>
      <c r="H608" t="s">
        <v>73</v>
      </c>
      <c r="I608" t="s">
        <v>84</v>
      </c>
      <c r="J608" t="s">
        <v>85</v>
      </c>
      <c r="K608" t="s">
        <v>86</v>
      </c>
      <c r="L608" t="s">
        <v>94</v>
      </c>
      <c r="M608" t="s">
        <v>2894</v>
      </c>
      <c r="N608" t="s">
        <v>48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34</v>
      </c>
      <c r="V608" t="s">
        <v>35</v>
      </c>
      <c r="W608">
        <f>IF(ISBLANK(Q608), 0, IFERROR(VALUE(Q608), 0.7))</f>
        <v>0.25</v>
      </c>
      <c r="X608">
        <f>D608 - C608</f>
        <v>6</v>
      </c>
      <c r="Y608">
        <f>O608 * P608 * (1 - W608)</f>
        <v>8754.3225000000002</v>
      </c>
      <c r="Z608">
        <f>Y608 - S608</f>
        <v>2515.4225000000006</v>
      </c>
      <c r="AA608">
        <f>IFERROR(Z608 / Y608, 0)</f>
        <v>0.28733491369549163</v>
      </c>
      <c r="AB608" t="str">
        <f>TEXT(C608, "mmmm")</f>
        <v>February</v>
      </c>
      <c r="AC608">
        <f>YEAR(C608)</f>
        <v>2025</v>
      </c>
      <c r="AD608" t="str">
        <f>IF(X608&lt;0, "Invalid: Ship Date Before Order Date", IF(W608&lt;0, "Invalid: Negative Discount", IF(W608&gt;0.5, "Invalid: Exceeds Allowed Discount", "OK")))</f>
        <v>OK</v>
      </c>
    </row>
    <row r="609" spans="1:30">
      <c r="A609" t="s">
        <v>2895</v>
      </c>
      <c r="B609" t="str">
        <f t="shared" si="9"/>
        <v>Unique</v>
      </c>
      <c r="C609" s="3">
        <v>45704</v>
      </c>
      <c r="D609" s="3">
        <v>45710</v>
      </c>
      <c r="E609" t="s">
        <v>2896</v>
      </c>
      <c r="F609" t="s">
        <v>168</v>
      </c>
      <c r="G609" t="s">
        <v>115</v>
      </c>
      <c r="H609" t="s">
        <v>42</v>
      </c>
      <c r="I609" t="s">
        <v>186</v>
      </c>
      <c r="J609" t="s">
        <v>187</v>
      </c>
      <c r="K609" t="s">
        <v>30</v>
      </c>
      <c r="L609" t="s">
        <v>156</v>
      </c>
      <c r="M609" t="s">
        <v>2897</v>
      </c>
      <c r="N609" t="s">
        <v>48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34</v>
      </c>
      <c r="V609" t="s">
        <v>35</v>
      </c>
      <c r="W609">
        <f>IF(ISBLANK(Q609), 0, IFERROR(VALUE(Q609), 0.7))</f>
        <v>0.15</v>
      </c>
      <c r="X609">
        <f>D609 - C609</f>
        <v>6</v>
      </c>
      <c r="Y609">
        <f>O609 * P609 * (1 - W609)</f>
        <v>4057.3474999999994</v>
      </c>
      <c r="Z609">
        <f>Y609 - S609</f>
        <v>1195.3174999999992</v>
      </c>
      <c r="AA609">
        <f>IFERROR(Z609 / Y609, 0)</f>
        <v>0.29460565061286947</v>
      </c>
      <c r="AB609" t="str">
        <f>TEXT(C609, "mmmm")</f>
        <v>February</v>
      </c>
      <c r="AC609">
        <f>YEAR(C609)</f>
        <v>2025</v>
      </c>
      <c r="AD609" t="str">
        <f>IF(X609&lt;0, "Invalid: Ship Date Before Order Date", IF(W609&lt;0, "Invalid: Negative Discount", IF(W609&gt;0.5, "Invalid: Exceeds Allowed Discount", "OK")))</f>
        <v>OK</v>
      </c>
    </row>
    <row r="610" spans="1:30">
      <c r="A610" t="s">
        <v>2898</v>
      </c>
      <c r="B610" t="str">
        <f t="shared" si="9"/>
        <v>Unique</v>
      </c>
      <c r="C610" s="3">
        <v>45464</v>
      </c>
      <c r="D610" s="3">
        <v>45466</v>
      </c>
      <c r="E610" t="s">
        <v>2574</v>
      </c>
      <c r="F610" t="s">
        <v>25</v>
      </c>
      <c r="G610" t="s">
        <v>115</v>
      </c>
      <c r="H610" t="s">
        <v>73</v>
      </c>
      <c r="I610" t="s">
        <v>249</v>
      </c>
      <c r="J610" t="s">
        <v>250</v>
      </c>
      <c r="K610" t="s">
        <v>45</v>
      </c>
      <c r="L610" t="s">
        <v>65</v>
      </c>
      <c r="M610" t="s">
        <v>2899</v>
      </c>
      <c r="N610" t="s">
        <v>33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34</v>
      </c>
      <c r="V610" t="s">
        <v>35</v>
      </c>
      <c r="W610">
        <f>IF(ISBLANK(Q610), 0, IFERROR(VALUE(Q610), 0.7))</f>
        <v>0</v>
      </c>
      <c r="X610">
        <f>D610 - C610</f>
        <v>2</v>
      </c>
      <c r="Y610">
        <f>O610 * P610 * (1 - W610)</f>
        <v>19383.75</v>
      </c>
      <c r="Z610">
        <f>Y610 - S610</f>
        <v>7716.32</v>
      </c>
      <c r="AA610">
        <f>IFERROR(Z610 / Y610, 0)</f>
        <v>0.39808189849745274</v>
      </c>
      <c r="AB610" t="str">
        <f>TEXT(C610, "mmmm")</f>
        <v>June</v>
      </c>
      <c r="AC610">
        <f>YEAR(C610)</f>
        <v>2024</v>
      </c>
      <c r="AD610" t="str">
        <f>IF(X610&lt;0, "Invalid: Ship Date Before Order Date", IF(W610&lt;0, "Invalid: Negative Discount", IF(W610&gt;0.5, "Invalid: Exceeds Allowed Discount", "OK")))</f>
        <v>OK</v>
      </c>
    </row>
    <row r="611" spans="1:30">
      <c r="A611" t="s">
        <v>2900</v>
      </c>
      <c r="B611" t="str">
        <f t="shared" si="9"/>
        <v>Unique</v>
      </c>
      <c r="C611" s="3">
        <v>45665</v>
      </c>
      <c r="D611" s="3">
        <v>45992</v>
      </c>
      <c r="E611" t="s">
        <v>2901</v>
      </c>
      <c r="F611" t="s">
        <v>168</v>
      </c>
      <c r="G611" t="s">
        <v>115</v>
      </c>
      <c r="H611" t="s">
        <v>62</v>
      </c>
      <c r="I611" t="s">
        <v>229</v>
      </c>
      <c r="J611" t="s">
        <v>230</v>
      </c>
      <c r="K611" t="s">
        <v>45</v>
      </c>
      <c r="L611" t="s">
        <v>76</v>
      </c>
      <c r="M611" t="s">
        <v>2902</v>
      </c>
      <c r="N611" t="s">
        <v>67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34</v>
      </c>
      <c r="V611" t="s">
        <v>35</v>
      </c>
      <c r="W611">
        <f>IF(ISBLANK(Q611), 0, IFERROR(VALUE(Q611), 0.7))</f>
        <v>0</v>
      </c>
      <c r="X611">
        <f>D611 - C611</f>
        <v>327</v>
      </c>
      <c r="Y611">
        <f>O611 * P611 * (1 - W611)</f>
        <v>30362.359999999997</v>
      </c>
      <c r="Z611">
        <f>Y611 - S611</f>
        <v>5296.9599999999955</v>
      </c>
      <c r="AA611">
        <f>IFERROR(Z611 / Y611, 0)</f>
        <v>0.17445811195177174</v>
      </c>
      <c r="AB611" t="str">
        <f>TEXT(C611, "mmmm")</f>
        <v>January</v>
      </c>
      <c r="AC611">
        <f>YEAR(C611)</f>
        <v>2025</v>
      </c>
      <c r="AD611" t="str">
        <f>IF(X611&lt;0, "Invalid: Ship Date Before Order Date", IF(W611&lt;0, "Invalid: Negative Discount", IF(W611&gt;0.5, "Invalid: Exceeds Allowed Discount", "OK")))</f>
        <v>OK</v>
      </c>
    </row>
    <row r="612" spans="1:30">
      <c r="A612" t="s">
        <v>2903</v>
      </c>
      <c r="B612" t="str">
        <f t="shared" si="9"/>
        <v>Unique</v>
      </c>
      <c r="C612" s="3">
        <v>45432</v>
      </c>
      <c r="D612" s="3">
        <v>45432</v>
      </c>
      <c r="E612" t="s">
        <v>2080</v>
      </c>
      <c r="F612" t="s">
        <v>25</v>
      </c>
      <c r="G612" t="s">
        <v>115</v>
      </c>
      <c r="H612" t="s">
        <v>73</v>
      </c>
      <c r="I612" t="s">
        <v>84</v>
      </c>
      <c r="J612" t="s">
        <v>85</v>
      </c>
      <c r="K612" t="s">
        <v>45</v>
      </c>
      <c r="L612" t="s">
        <v>76</v>
      </c>
      <c r="M612" t="s">
        <v>2906</v>
      </c>
      <c r="N612" t="s">
        <v>67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34</v>
      </c>
      <c r="V612" t="s">
        <v>35</v>
      </c>
      <c r="W612">
        <f>IF(ISBLANK(Q612), 0, IFERROR(VALUE(Q612), 0.7))</f>
        <v>0.1</v>
      </c>
      <c r="X612">
        <f>D612 - C612</f>
        <v>0</v>
      </c>
      <c r="Y612">
        <f>O612 * P612 * (1 - W612)</f>
        <v>2729.6549999999997</v>
      </c>
      <c r="Z612">
        <f>Y612 - S612</f>
        <v>1014.2949999999998</v>
      </c>
      <c r="AA612">
        <f>IFERROR(Z612 / Y612, 0)</f>
        <v>0.37158358840219735</v>
      </c>
      <c r="AB612" t="str">
        <f>TEXT(C612, "mmmm")</f>
        <v>May</v>
      </c>
      <c r="AC612">
        <f>YEAR(C612)</f>
        <v>2024</v>
      </c>
      <c r="AD612" t="str">
        <f>IF(X612&lt;0, "Invalid: Ship Date Before Order Date", IF(W612&lt;0, "Invalid: Negative Discount", IF(W612&gt;0.5, "Invalid: Exceeds Allowed Discount", "OK")))</f>
        <v>OK</v>
      </c>
    </row>
    <row r="613" spans="1:30">
      <c r="A613" t="s">
        <v>2907</v>
      </c>
      <c r="B613" t="str">
        <f t="shared" si="9"/>
        <v>Unique</v>
      </c>
      <c r="C613" s="3">
        <v>45876</v>
      </c>
      <c r="D613" s="3">
        <v>45853</v>
      </c>
      <c r="E613" t="s">
        <v>2909</v>
      </c>
      <c r="F613" t="s">
        <v>72</v>
      </c>
      <c r="G613" t="s">
        <v>41</v>
      </c>
      <c r="H613" t="s">
        <v>27</v>
      </c>
      <c r="I613" t="s">
        <v>28</v>
      </c>
      <c r="J613" t="s">
        <v>29</v>
      </c>
      <c r="K613" t="s">
        <v>30</v>
      </c>
      <c r="L613" t="s">
        <v>198</v>
      </c>
      <c r="M613" t="s">
        <v>2910</v>
      </c>
      <c r="N613" t="s">
        <v>48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34</v>
      </c>
      <c r="V613" t="s">
        <v>35</v>
      </c>
      <c r="W613">
        <f>IF(ISBLANK(Q613), 0, IFERROR(VALUE(Q613), 0.7))</f>
        <v>0.1</v>
      </c>
      <c r="X613">
        <f>D613 - C613</f>
        <v>-23</v>
      </c>
      <c r="Y613">
        <f>O613 * P613 * (1 - W613)</f>
        <v>4718.0159999999996</v>
      </c>
      <c r="Z613">
        <f>Y613 - S613</f>
        <v>809.7859999999996</v>
      </c>
      <c r="AA613">
        <f>IFERROR(Z613 / Y613, 0)</f>
        <v>0.17163697622051297</v>
      </c>
      <c r="AB613" t="str">
        <f>TEXT(C613, "mmmm")</f>
        <v>August</v>
      </c>
      <c r="AC613">
        <f>YEAR(C613)</f>
        <v>2025</v>
      </c>
      <c r="AD613" t="str">
        <f>IF(X613&lt;0, "Invalid: Ship Date Before Order Date", IF(W613&lt;0, "Invalid: Negative Discount", IF(W613&gt;0.5, "Invalid: Exceeds Allowed Discount", "OK")))</f>
        <v>Invalid: Ship Date Before Order Date</v>
      </c>
    </row>
    <row r="614" spans="1:30">
      <c r="A614" t="s">
        <v>2911</v>
      </c>
      <c r="B614" t="str">
        <f t="shared" si="9"/>
        <v>Unique</v>
      </c>
      <c r="C614" s="3">
        <v>45753</v>
      </c>
      <c r="D614" s="3">
        <v>45760</v>
      </c>
      <c r="E614" t="s">
        <v>2914</v>
      </c>
      <c r="F614" t="s">
        <v>107</v>
      </c>
      <c r="G614" t="s">
        <v>26</v>
      </c>
      <c r="H614" t="s">
        <v>4110</v>
      </c>
      <c r="I614" t="s">
        <v>43</v>
      </c>
      <c r="J614" t="s">
        <v>44</v>
      </c>
      <c r="K614" t="s">
        <v>86</v>
      </c>
      <c r="L614" t="s">
        <v>223</v>
      </c>
      <c r="M614" t="s">
        <v>2915</v>
      </c>
      <c r="N614" t="s">
        <v>67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34</v>
      </c>
      <c r="V614" t="s">
        <v>35</v>
      </c>
      <c r="W614">
        <f>IF(ISBLANK(Q614), 0, IFERROR(VALUE(Q614), 0.7))</f>
        <v>0</v>
      </c>
      <c r="X614">
        <f>D614 - C614</f>
        <v>7</v>
      </c>
      <c r="Y614">
        <f>O614 * P614 * (1 - W614)</f>
        <v>3844.01</v>
      </c>
      <c r="Z614">
        <f>Y614 - S614</f>
        <v>1648.2200000000003</v>
      </c>
      <c r="AA614">
        <f>IFERROR(Z614 / Y614, 0)</f>
        <v>0.42877619985379856</v>
      </c>
      <c r="AB614" t="str">
        <f>TEXT(C614, "mmmm")</f>
        <v>April</v>
      </c>
      <c r="AC614">
        <f>YEAR(C614)</f>
        <v>2025</v>
      </c>
      <c r="AD614" t="str">
        <f>IF(X614&lt;0, "Invalid: Ship Date Before Order Date", IF(W614&lt;0, "Invalid: Negative Discount", IF(W614&gt;0.5, "Invalid: Exceeds Allowed Discount", "OK")))</f>
        <v>OK</v>
      </c>
    </row>
    <row r="615" spans="1:30">
      <c r="A615" t="s">
        <v>2916</v>
      </c>
      <c r="B615" t="str">
        <f t="shared" si="9"/>
        <v>Unique</v>
      </c>
      <c r="C615" s="3">
        <v>45570</v>
      </c>
      <c r="D615" s="3">
        <v>45575</v>
      </c>
      <c r="E615" t="s">
        <v>2918</v>
      </c>
      <c r="F615" t="s">
        <v>210</v>
      </c>
      <c r="G615" t="s">
        <v>115</v>
      </c>
      <c r="H615" t="s">
        <v>73</v>
      </c>
      <c r="I615" t="s">
        <v>235</v>
      </c>
      <c r="J615" t="s">
        <v>236</v>
      </c>
      <c r="K615" t="s">
        <v>86</v>
      </c>
      <c r="L615" t="s">
        <v>382</v>
      </c>
      <c r="M615" t="s">
        <v>2919</v>
      </c>
      <c r="N615" t="s">
        <v>48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34</v>
      </c>
      <c r="V615" t="s">
        <v>35</v>
      </c>
      <c r="W615">
        <f>IF(ISBLANK(Q615), 0, IFERROR(VALUE(Q615), 0.7))</f>
        <v>0.25</v>
      </c>
      <c r="X615">
        <f>D615 - C615</f>
        <v>5</v>
      </c>
      <c r="Y615">
        <f>O615 * P615 * (1 - W615)</f>
        <v>22688.775000000001</v>
      </c>
      <c r="Z615">
        <f>Y615 - S615</f>
        <v>8016.3650000000016</v>
      </c>
      <c r="AA615">
        <f>IFERROR(Z615 / Y615, 0)</f>
        <v>0.35331854628555315</v>
      </c>
      <c r="AB615" t="str">
        <f>TEXT(C615, "mmmm")</f>
        <v>October</v>
      </c>
      <c r="AC615">
        <f>YEAR(C615)</f>
        <v>2024</v>
      </c>
      <c r="AD615" t="str">
        <f>IF(X615&lt;0, "Invalid: Ship Date Before Order Date", IF(W615&lt;0, "Invalid: Negative Discount", IF(W615&gt;0.5, "Invalid: Exceeds Allowed Discount", "OK")))</f>
        <v>OK</v>
      </c>
    </row>
    <row r="616" spans="1:30">
      <c r="A616" t="s">
        <v>2920</v>
      </c>
      <c r="B616" t="str">
        <f t="shared" si="9"/>
        <v>Unique</v>
      </c>
      <c r="C616" s="3">
        <v>45598</v>
      </c>
      <c r="D616" s="3">
        <v>45341</v>
      </c>
      <c r="E616" t="s">
        <v>2922</v>
      </c>
      <c r="F616" t="s">
        <v>72</v>
      </c>
      <c r="G616" t="s">
        <v>115</v>
      </c>
      <c r="H616" t="s">
        <v>62</v>
      </c>
      <c r="I616" t="s">
        <v>63</v>
      </c>
      <c r="J616" t="s">
        <v>64</v>
      </c>
      <c r="K616" t="s">
        <v>45</v>
      </c>
      <c r="L616" t="s">
        <v>76</v>
      </c>
      <c r="M616" t="s">
        <v>2923</v>
      </c>
      <c r="N616" t="s">
        <v>67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124</v>
      </c>
      <c r="V616" t="s">
        <v>78</v>
      </c>
      <c r="W616">
        <f>IF(ISBLANK(Q616), 0, IFERROR(VALUE(Q616), 0.7))</f>
        <v>0.25</v>
      </c>
      <c r="X616">
        <f>D616 - C616</f>
        <v>-257</v>
      </c>
      <c r="Y616">
        <f>O616 * P616 * (1 - W616)</f>
        <v>20389.920000000002</v>
      </c>
      <c r="Z616">
        <f>Y616 - S616</f>
        <v>3728.84</v>
      </c>
      <c r="AA616">
        <f>IFERROR(Z616 / Y616, 0)</f>
        <v>0.18287663708342161</v>
      </c>
      <c r="AB616" t="str">
        <f>TEXT(C616, "mmmm")</f>
        <v>November</v>
      </c>
      <c r="AC616">
        <f>YEAR(C616)</f>
        <v>2024</v>
      </c>
      <c r="AD616" t="str">
        <f>IF(X616&lt;0, "Invalid: Ship Date Before Order Date", IF(W616&lt;0, "Invalid: Negative Discount", IF(W616&gt;0.5, "Invalid: Exceeds Allowed Discount", "OK")))</f>
        <v>Invalid: Ship Date Before Order Date</v>
      </c>
    </row>
    <row r="617" spans="1:30">
      <c r="A617" t="s">
        <v>2924</v>
      </c>
      <c r="B617" t="str">
        <f t="shared" si="9"/>
        <v>Unique</v>
      </c>
      <c r="C617" s="3">
        <v>45569</v>
      </c>
      <c r="D617" s="3">
        <v>45572</v>
      </c>
      <c r="E617" t="s">
        <v>2927</v>
      </c>
      <c r="F617" t="s">
        <v>148</v>
      </c>
      <c r="G617" t="s">
        <v>108</v>
      </c>
      <c r="H617" t="s">
        <v>62</v>
      </c>
      <c r="I617" t="s">
        <v>242</v>
      </c>
      <c r="J617" t="s">
        <v>243</v>
      </c>
      <c r="K617" t="s">
        <v>30</v>
      </c>
      <c r="L617" t="s">
        <v>54</v>
      </c>
      <c r="M617" t="s">
        <v>2928</v>
      </c>
      <c r="N617" t="s">
        <v>33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34</v>
      </c>
      <c r="V617" t="s">
        <v>35</v>
      </c>
      <c r="W617">
        <f>IF(ISBLANK(Q617), 0, IFERROR(VALUE(Q617), 0.7))</f>
        <v>0.1</v>
      </c>
      <c r="X617">
        <f>D617 - C617</f>
        <v>3</v>
      </c>
      <c r="Y617">
        <f>O617 * P617 * (1 - W617)</f>
        <v>5659.884</v>
      </c>
      <c r="Z617">
        <f>Y617 - S617</f>
        <v>1322.0940000000001</v>
      </c>
      <c r="AA617">
        <f>IFERROR(Z617 / Y617, 0)</f>
        <v>0.23359029973052453</v>
      </c>
      <c r="AB617" t="str">
        <f>TEXT(C617, "mmmm")</f>
        <v>October</v>
      </c>
      <c r="AC617">
        <f>YEAR(C617)</f>
        <v>2024</v>
      </c>
      <c r="AD617" t="str">
        <f>IF(X617&lt;0, "Invalid: Ship Date Before Order Date", IF(W617&lt;0, "Invalid: Negative Discount", IF(W617&gt;0.5, "Invalid: Exceeds Allowed Discount", "OK")))</f>
        <v>OK</v>
      </c>
    </row>
    <row r="618" spans="1:30">
      <c r="A618" t="s">
        <v>2929</v>
      </c>
      <c r="B618" t="str">
        <f t="shared" si="9"/>
        <v>Unique</v>
      </c>
      <c r="C618" s="3">
        <v>45520</v>
      </c>
      <c r="D618" s="3">
        <v>45523</v>
      </c>
      <c r="E618" t="s">
        <v>2931</v>
      </c>
      <c r="F618" t="s">
        <v>366</v>
      </c>
      <c r="G618" t="s">
        <v>26</v>
      </c>
      <c r="H618" t="s">
        <v>62</v>
      </c>
      <c r="I618" t="s">
        <v>63</v>
      </c>
      <c r="J618" t="s">
        <v>64</v>
      </c>
      <c r="K618" t="s">
        <v>30</v>
      </c>
      <c r="L618" t="s">
        <v>31</v>
      </c>
      <c r="M618" t="s">
        <v>2932</v>
      </c>
      <c r="N618" t="s">
        <v>67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34</v>
      </c>
      <c r="V618" t="s">
        <v>35</v>
      </c>
      <c r="W618">
        <f>IF(ISBLANK(Q618), 0, IFERROR(VALUE(Q618), 0.7))</f>
        <v>0.2</v>
      </c>
      <c r="X618">
        <f>D618 - C618</f>
        <v>3</v>
      </c>
      <c r="Y618">
        <f>O618 * P618 * (1 - W618)</f>
        <v>18842.640000000003</v>
      </c>
      <c r="Z618">
        <f>Y618 - S618</f>
        <v>7002.0600000000031</v>
      </c>
      <c r="AA618">
        <f>IFERROR(Z618 / Y618, 0)</f>
        <v>0.37160716332743193</v>
      </c>
      <c r="AB618" t="str">
        <f>TEXT(C618, "mmmm")</f>
        <v>August</v>
      </c>
      <c r="AC618">
        <f>YEAR(C618)</f>
        <v>2024</v>
      </c>
      <c r="AD618" t="str">
        <f>IF(X618&lt;0, "Invalid: Ship Date Before Order Date", IF(W618&lt;0, "Invalid: Negative Discount", IF(W618&gt;0.5, "Invalid: Exceeds Allowed Discount", "OK")))</f>
        <v>OK</v>
      </c>
    </row>
    <row r="619" spans="1:30">
      <c r="A619" t="s">
        <v>2933</v>
      </c>
      <c r="B619" t="str">
        <f t="shared" si="9"/>
        <v>Unique</v>
      </c>
      <c r="C619" s="3">
        <v>45564</v>
      </c>
      <c r="D619" s="3">
        <v>45565</v>
      </c>
      <c r="E619" t="s">
        <v>2935</v>
      </c>
      <c r="F619" t="s">
        <v>40</v>
      </c>
      <c r="G619" t="s">
        <v>115</v>
      </c>
      <c r="H619" t="s">
        <v>62</v>
      </c>
      <c r="I619" t="s">
        <v>63</v>
      </c>
      <c r="J619" t="s">
        <v>64</v>
      </c>
      <c r="K619" t="s">
        <v>86</v>
      </c>
      <c r="L619" t="s">
        <v>223</v>
      </c>
      <c r="M619" t="s">
        <v>2936</v>
      </c>
      <c r="N619" t="s">
        <v>67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34</v>
      </c>
      <c r="V619" t="s">
        <v>35</v>
      </c>
      <c r="W619">
        <f>IF(ISBLANK(Q619), 0, IFERROR(VALUE(Q619), 0.7))</f>
        <v>0</v>
      </c>
      <c r="X619">
        <f>D619 - C619</f>
        <v>1</v>
      </c>
      <c r="Y619">
        <f>O619 * P619 * (1 - W619)</f>
        <v>24677.19</v>
      </c>
      <c r="Z619">
        <f>Y619 - S619</f>
        <v>4326.34</v>
      </c>
      <c r="AA619">
        <f>IFERROR(Z619 / Y619, 0)</f>
        <v>0.17531736798233513</v>
      </c>
      <c r="AB619" t="str">
        <f>TEXT(C619, "mmmm")</f>
        <v>September</v>
      </c>
      <c r="AC619">
        <f>YEAR(C619)</f>
        <v>2024</v>
      </c>
      <c r="AD619" t="str">
        <f>IF(X619&lt;0, "Invalid: Ship Date Before Order Date", IF(W619&lt;0, "Invalid: Negative Discount", IF(W619&gt;0.5, "Invalid: Exceeds Allowed Discount", "OK")))</f>
        <v>OK</v>
      </c>
    </row>
    <row r="620" spans="1:30">
      <c r="A620" t="s">
        <v>2937</v>
      </c>
      <c r="B620" t="str">
        <f t="shared" si="9"/>
        <v>Unique</v>
      </c>
      <c r="C620" s="3">
        <v>45496</v>
      </c>
      <c r="D620" s="3">
        <v>45503</v>
      </c>
      <c r="E620" t="s">
        <v>2939</v>
      </c>
      <c r="F620" t="s">
        <v>366</v>
      </c>
      <c r="G620" t="s">
        <v>108</v>
      </c>
      <c r="H620" t="s">
        <v>27</v>
      </c>
      <c r="I620" t="s">
        <v>28</v>
      </c>
      <c r="J620" t="s">
        <v>29</v>
      </c>
      <c r="K620" t="s">
        <v>45</v>
      </c>
      <c r="L620" t="s">
        <v>46</v>
      </c>
      <c r="M620" t="s">
        <v>2940</v>
      </c>
      <c r="N620" t="s">
        <v>48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200</v>
      </c>
      <c r="V620" t="s">
        <v>78</v>
      </c>
      <c r="W620">
        <f>IF(ISBLANK(Q620), 0, IFERROR(VALUE(Q620), 0.7))</f>
        <v>0.25</v>
      </c>
      <c r="X620">
        <f>D620 - C620</f>
        <v>7</v>
      </c>
      <c r="Y620">
        <f>O620 * P620 * (1 - W620)</f>
        <v>12623.242499999998</v>
      </c>
      <c r="Z620">
        <f>Y620 - S620</f>
        <v>2082.4424999999992</v>
      </c>
      <c r="AA620">
        <f>IFERROR(Z620 / Y620, 0)</f>
        <v>0.16496890557239943</v>
      </c>
      <c r="AB620" t="str">
        <f>TEXT(C620, "mmmm")</f>
        <v>July</v>
      </c>
      <c r="AC620">
        <f>YEAR(C620)</f>
        <v>2024</v>
      </c>
      <c r="AD620" t="str">
        <f>IF(X620&lt;0, "Invalid: Ship Date Before Order Date", IF(W620&lt;0, "Invalid: Negative Discount", IF(W620&gt;0.5, "Invalid: Exceeds Allowed Discount", "OK")))</f>
        <v>OK</v>
      </c>
    </row>
    <row r="621" spans="1:30">
      <c r="A621" t="s">
        <v>2941</v>
      </c>
      <c r="B621" t="str">
        <f t="shared" si="9"/>
        <v>Unique</v>
      </c>
      <c r="C621" s="3">
        <v>45618</v>
      </c>
      <c r="D621" s="3">
        <v>45623</v>
      </c>
      <c r="E621" t="s">
        <v>2943</v>
      </c>
      <c r="F621" t="s">
        <v>142</v>
      </c>
      <c r="G621" t="s">
        <v>108</v>
      </c>
      <c r="H621" t="s">
        <v>62</v>
      </c>
      <c r="I621" t="s">
        <v>339</v>
      </c>
      <c r="J621" t="s">
        <v>340</v>
      </c>
      <c r="K621" t="s">
        <v>30</v>
      </c>
      <c r="L621" t="s">
        <v>198</v>
      </c>
      <c r="M621" t="s">
        <v>2944</v>
      </c>
      <c r="N621" t="s">
        <v>56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124</v>
      </c>
      <c r="V621" t="s">
        <v>125</v>
      </c>
      <c r="W621">
        <f>IF(ISBLANK(Q621), 0, IFERROR(VALUE(Q621), 0.7))</f>
        <v>0.2</v>
      </c>
      <c r="X621">
        <f>D621 - C621</f>
        <v>5</v>
      </c>
      <c r="Y621">
        <f>O621 * P621 * (1 - W621)</f>
        <v>3401.0080000000003</v>
      </c>
      <c r="Z621">
        <f>Y621 - S621</f>
        <v>483.4680000000003</v>
      </c>
      <c r="AA621">
        <f>IFERROR(Z621 / Y621, 0)</f>
        <v>0.14215432601158254</v>
      </c>
      <c r="AB621" t="str">
        <f>TEXT(C621, "mmmm")</f>
        <v>November</v>
      </c>
      <c r="AC621">
        <f>YEAR(C621)</f>
        <v>2024</v>
      </c>
      <c r="AD621" t="str">
        <f>IF(X621&lt;0, "Invalid: Ship Date Before Order Date", IF(W621&lt;0, "Invalid: Negative Discount", IF(W621&gt;0.5, "Invalid: Exceeds Allowed Discount", "OK")))</f>
        <v>OK</v>
      </c>
    </row>
    <row r="622" spans="1:30">
      <c r="A622" t="s">
        <v>2945</v>
      </c>
      <c r="B622" t="str">
        <f t="shared" si="9"/>
        <v>Unique</v>
      </c>
      <c r="C622" s="3">
        <v>45522</v>
      </c>
      <c r="D622" s="3">
        <v>45525</v>
      </c>
      <c r="E622" t="s">
        <v>2948</v>
      </c>
      <c r="F622" t="s">
        <v>83</v>
      </c>
      <c r="G622" t="s">
        <v>26</v>
      </c>
      <c r="H622" t="s">
        <v>27</v>
      </c>
      <c r="I622" t="s">
        <v>174</v>
      </c>
      <c r="J622" t="s">
        <v>175</v>
      </c>
      <c r="K622" t="s">
        <v>86</v>
      </c>
      <c r="L622" t="s">
        <v>382</v>
      </c>
      <c r="M622" t="s">
        <v>2949</v>
      </c>
      <c r="N622" t="s">
        <v>67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34</v>
      </c>
      <c r="V622" t="s">
        <v>35</v>
      </c>
      <c r="W622">
        <f>IF(ISBLANK(Q622), 0, IFERROR(VALUE(Q622), 0.7))</f>
        <v>0</v>
      </c>
      <c r="X622">
        <f>D622 - C622</f>
        <v>3</v>
      </c>
      <c r="Y622">
        <f>O622 * P622 * (1 - W622)</f>
        <v>6609.06</v>
      </c>
      <c r="Z622">
        <f>Y622 - S622</f>
        <v>1662.2800000000007</v>
      </c>
      <c r="AA622">
        <f>IFERROR(Z622 / Y622, 0)</f>
        <v>0.25151534408826681</v>
      </c>
      <c r="AB622" t="str">
        <f>TEXT(C622, "mmmm")</f>
        <v>August</v>
      </c>
      <c r="AC622">
        <f>YEAR(C622)</f>
        <v>2024</v>
      </c>
      <c r="AD622" t="str">
        <f>IF(X622&lt;0, "Invalid: Ship Date Before Order Date", IF(W622&lt;0, "Invalid: Negative Discount", IF(W622&gt;0.5, "Invalid: Exceeds Allowed Discount", "OK")))</f>
        <v>OK</v>
      </c>
    </row>
    <row r="623" spans="1:30">
      <c r="A623" t="s">
        <v>2950</v>
      </c>
      <c r="B623" t="str">
        <f t="shared" si="9"/>
        <v>Unique</v>
      </c>
      <c r="C623" s="3">
        <v>45624</v>
      </c>
      <c r="D623" s="3">
        <v>45455</v>
      </c>
      <c r="E623" t="s">
        <v>2952</v>
      </c>
      <c r="F623" t="s">
        <v>107</v>
      </c>
      <c r="G623" t="s">
        <v>26</v>
      </c>
      <c r="H623" t="s">
        <v>73</v>
      </c>
      <c r="I623" t="s">
        <v>74</v>
      </c>
      <c r="J623" t="s">
        <v>75</v>
      </c>
      <c r="K623" t="s">
        <v>45</v>
      </c>
      <c r="L623" t="s">
        <v>76</v>
      </c>
      <c r="M623" t="s">
        <v>2953</v>
      </c>
      <c r="N623" t="s">
        <v>48</v>
      </c>
      <c r="O623">
        <v>5</v>
      </c>
      <c r="P623">
        <v>1092.8399999999999</v>
      </c>
      <c r="R623">
        <v>5464.2</v>
      </c>
      <c r="S623">
        <v>3318.09</v>
      </c>
      <c r="T623">
        <v>2146.11</v>
      </c>
      <c r="U623" t="s">
        <v>34</v>
      </c>
      <c r="V623" t="s">
        <v>35</v>
      </c>
      <c r="W623">
        <f>IF(ISBLANK(Q623), 0, IFERROR(VALUE(Q623), 0.7))</f>
        <v>0</v>
      </c>
      <c r="X623">
        <f>D623 - C623</f>
        <v>-169</v>
      </c>
      <c r="Y623">
        <f>O623 * P623 * (1 - W623)</f>
        <v>5464.2</v>
      </c>
      <c r="Z623">
        <f>Y623 - S623</f>
        <v>2146.1099999999997</v>
      </c>
      <c r="AA623">
        <f>IFERROR(Z623 / Y623, 0)</f>
        <v>0.39275831777753373</v>
      </c>
      <c r="AB623" t="str">
        <f>TEXT(C623, "mmmm")</f>
        <v>November</v>
      </c>
      <c r="AC623">
        <f>YEAR(C623)</f>
        <v>2024</v>
      </c>
      <c r="AD623" t="str">
        <f>IF(X623&lt;0, "Invalid: Ship Date Before Order Date", IF(W623&lt;0, "Invalid: Negative Discount", IF(W623&gt;0.5, "Invalid: Exceeds Allowed Discount", "OK")))</f>
        <v>Invalid: Ship Date Before Order Date</v>
      </c>
    </row>
    <row r="624" spans="1:30">
      <c r="A624" t="s">
        <v>2954</v>
      </c>
      <c r="B624" t="str">
        <f t="shared" si="9"/>
        <v>Unique</v>
      </c>
      <c r="C624" s="3">
        <v>45686</v>
      </c>
      <c r="D624" s="3">
        <v>45694</v>
      </c>
      <c r="E624" t="s">
        <v>2957</v>
      </c>
      <c r="F624" t="s">
        <v>83</v>
      </c>
      <c r="G624" t="s">
        <v>26</v>
      </c>
      <c r="H624" t="s">
        <v>42</v>
      </c>
      <c r="I624" t="s">
        <v>186</v>
      </c>
      <c r="J624" t="s">
        <v>187</v>
      </c>
      <c r="K624" t="s">
        <v>30</v>
      </c>
      <c r="L624" t="s">
        <v>156</v>
      </c>
      <c r="M624" t="s">
        <v>2958</v>
      </c>
      <c r="N624" t="s">
        <v>67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34</v>
      </c>
      <c r="V624" t="s">
        <v>35</v>
      </c>
      <c r="W624">
        <f>IF(ISBLANK(Q624), 0, IFERROR(VALUE(Q624), 0.7))</f>
        <v>0.05</v>
      </c>
      <c r="X624">
        <f>D624 - C624</f>
        <v>8</v>
      </c>
      <c r="Y624">
        <f>O624 * P624 * (1 - W624)</f>
        <v>10484.238000000001</v>
      </c>
      <c r="Z624">
        <f>Y624 - S624</f>
        <v>3804.0880000000016</v>
      </c>
      <c r="AA624">
        <f>IFERROR(Z624 / Y624, 0)</f>
        <v>0.36283876806306775</v>
      </c>
      <c r="AB624" t="str">
        <f>TEXT(C624, "mmmm")</f>
        <v>January</v>
      </c>
      <c r="AC624">
        <f>YEAR(C624)</f>
        <v>2025</v>
      </c>
      <c r="AD624" t="str">
        <f>IF(X624&lt;0, "Invalid: Ship Date Before Order Date", IF(W624&lt;0, "Invalid: Negative Discount", IF(W624&gt;0.5, "Invalid: Exceeds Allowed Discount", "OK")))</f>
        <v>OK</v>
      </c>
    </row>
    <row r="625" spans="1:30">
      <c r="A625" t="s">
        <v>2959</v>
      </c>
      <c r="B625" t="str">
        <f t="shared" si="9"/>
        <v>Unique</v>
      </c>
      <c r="C625" s="3">
        <v>45512</v>
      </c>
      <c r="D625" s="3">
        <v>45518</v>
      </c>
      <c r="E625" t="s">
        <v>2962</v>
      </c>
      <c r="F625" t="s">
        <v>83</v>
      </c>
      <c r="G625" t="s">
        <v>115</v>
      </c>
      <c r="H625" t="s">
        <v>27</v>
      </c>
      <c r="I625" t="s">
        <v>154</v>
      </c>
      <c r="J625" t="s">
        <v>155</v>
      </c>
      <c r="K625" t="s">
        <v>30</v>
      </c>
      <c r="L625" t="s">
        <v>156</v>
      </c>
      <c r="M625" t="s">
        <v>2963</v>
      </c>
      <c r="N625" t="s">
        <v>33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34</v>
      </c>
      <c r="V625" t="s">
        <v>35</v>
      </c>
      <c r="W625">
        <f>IF(ISBLANK(Q625), 0, IFERROR(VALUE(Q625), 0.7))</f>
        <v>0.05</v>
      </c>
      <c r="X625">
        <f>D625 - C625</f>
        <v>6</v>
      </c>
      <c r="Y625">
        <f>O625 * P625 * (1 - W625)</f>
        <v>10329.843999999999</v>
      </c>
      <c r="Z625">
        <f>Y625 - S625</f>
        <v>2817.6239999999989</v>
      </c>
      <c r="AA625">
        <f>IFERROR(Z625 / Y625, 0)</f>
        <v>0.27276539703794161</v>
      </c>
      <c r="AB625" t="str">
        <f>TEXT(C625, "mmmm")</f>
        <v>August</v>
      </c>
      <c r="AC625">
        <f>YEAR(C625)</f>
        <v>2024</v>
      </c>
      <c r="AD625" t="str">
        <f>IF(X625&lt;0, "Invalid: Ship Date Before Order Date", IF(W625&lt;0, "Invalid: Negative Discount", IF(W625&gt;0.5, "Invalid: Exceeds Allowed Discount", "OK")))</f>
        <v>OK</v>
      </c>
    </row>
    <row r="626" spans="1:30">
      <c r="A626" t="s">
        <v>2964</v>
      </c>
      <c r="B626" t="str">
        <f t="shared" si="9"/>
        <v>Unique</v>
      </c>
      <c r="C626" s="3">
        <v>45321</v>
      </c>
      <c r="D626" s="3">
        <v>45323</v>
      </c>
      <c r="E626" t="s">
        <v>2967</v>
      </c>
      <c r="F626" t="s">
        <v>93</v>
      </c>
      <c r="G626" t="s">
        <v>115</v>
      </c>
      <c r="H626" t="s">
        <v>42</v>
      </c>
      <c r="I626" t="s">
        <v>216</v>
      </c>
      <c r="J626" t="s">
        <v>217</v>
      </c>
      <c r="K626" t="s">
        <v>45</v>
      </c>
      <c r="L626" t="s">
        <v>76</v>
      </c>
      <c r="M626" t="s">
        <v>2968</v>
      </c>
      <c r="N626" t="s">
        <v>56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34</v>
      </c>
      <c r="V626" t="s">
        <v>35</v>
      </c>
      <c r="W626">
        <f>IF(ISBLANK(Q626), 0, IFERROR(VALUE(Q626), 0.7))</f>
        <v>0.05</v>
      </c>
      <c r="X626">
        <f>D626 - C626</f>
        <v>2</v>
      </c>
      <c r="Y626">
        <f>O626 * P626 * (1 - W626)</f>
        <v>8456.9569999999985</v>
      </c>
      <c r="Z626">
        <f>Y626 - S626</f>
        <v>2994.1069999999982</v>
      </c>
      <c r="AA626">
        <f>IFERROR(Z626 / Y626, 0)</f>
        <v>0.35404070282017502</v>
      </c>
      <c r="AB626" t="str">
        <f>TEXT(C626, "mmmm")</f>
        <v>January</v>
      </c>
      <c r="AC626">
        <f>YEAR(C626)</f>
        <v>2024</v>
      </c>
      <c r="AD626" t="str">
        <f>IF(X626&lt;0, "Invalid: Ship Date Before Order Date", IF(W626&lt;0, "Invalid: Negative Discount", IF(W626&gt;0.5, "Invalid: Exceeds Allowed Discount", "OK")))</f>
        <v>OK</v>
      </c>
    </row>
    <row r="627" spans="1:30">
      <c r="A627" t="s">
        <v>2969</v>
      </c>
      <c r="B627" t="str">
        <f t="shared" si="9"/>
        <v>Unique</v>
      </c>
      <c r="C627" s="3">
        <v>45641</v>
      </c>
      <c r="D627" s="3">
        <v>45647</v>
      </c>
      <c r="E627" t="s">
        <v>2971</v>
      </c>
      <c r="F627" t="s">
        <v>210</v>
      </c>
      <c r="G627" t="s">
        <v>108</v>
      </c>
      <c r="H627" t="s">
        <v>73</v>
      </c>
      <c r="I627" t="s">
        <v>28</v>
      </c>
      <c r="J627" t="s">
        <v>135</v>
      </c>
      <c r="K627" t="s">
        <v>45</v>
      </c>
      <c r="L627" t="s">
        <v>76</v>
      </c>
      <c r="M627" t="s">
        <v>2972</v>
      </c>
      <c r="N627" t="s">
        <v>48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34</v>
      </c>
      <c r="V627" t="s">
        <v>35</v>
      </c>
      <c r="W627">
        <f>IF(ISBLANK(Q627), 0, IFERROR(VALUE(Q627), 0.7))</f>
        <v>0.2</v>
      </c>
      <c r="X627">
        <f>D627 - C627</f>
        <v>6</v>
      </c>
      <c r="Y627">
        <f>O627 * P627 * (1 - W627)</f>
        <v>1266.4079999999999</v>
      </c>
      <c r="Z627">
        <f>Y627 - S627</f>
        <v>282.48799999999994</v>
      </c>
      <c r="AA627">
        <f>IFERROR(Z627 / Y627, 0)</f>
        <v>0.22306239379410109</v>
      </c>
      <c r="AB627" t="str">
        <f>TEXT(C627, "mmmm")</f>
        <v>December</v>
      </c>
      <c r="AC627">
        <f>YEAR(C627)</f>
        <v>2024</v>
      </c>
      <c r="AD627" t="str">
        <f>IF(X627&lt;0, "Invalid: Ship Date Before Order Date", IF(W627&lt;0, "Invalid: Negative Discount", IF(W627&gt;0.5, "Invalid: Exceeds Allowed Discount", "OK")))</f>
        <v>OK</v>
      </c>
    </row>
    <row r="628" spans="1:30">
      <c r="A628" t="s">
        <v>2973</v>
      </c>
      <c r="B628" t="str">
        <f t="shared" si="9"/>
        <v>Unique</v>
      </c>
      <c r="C628" s="3">
        <v>45753</v>
      </c>
      <c r="D628" s="3">
        <v>45815</v>
      </c>
      <c r="E628" t="s">
        <v>2975</v>
      </c>
      <c r="F628" t="s">
        <v>168</v>
      </c>
      <c r="G628" t="s">
        <v>115</v>
      </c>
      <c r="H628" t="s">
        <v>42</v>
      </c>
      <c r="I628" t="s">
        <v>216</v>
      </c>
      <c r="J628" t="s">
        <v>217</v>
      </c>
      <c r="K628" t="s">
        <v>86</v>
      </c>
      <c r="L628" t="s">
        <v>382</v>
      </c>
      <c r="M628" t="s">
        <v>2976</v>
      </c>
      <c r="N628" t="s">
        <v>67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137</v>
      </c>
      <c r="V628" t="s">
        <v>125</v>
      </c>
      <c r="W628">
        <f>IF(ISBLANK(Q628), 0, IFERROR(VALUE(Q628), 0.7))</f>
        <v>0</v>
      </c>
      <c r="X628">
        <f>D628 - C628</f>
        <v>62</v>
      </c>
      <c r="Y628">
        <f>O628 * P628 * (1 - W628)</f>
        <v>11473.04</v>
      </c>
      <c r="Z628">
        <f>Y628 - S628</f>
        <v>2541.7100000000009</v>
      </c>
      <c r="AA628">
        <f>IFERROR(Z628 / Y628, 0)</f>
        <v>0.22153762211236086</v>
      </c>
      <c r="AB628" t="str">
        <f>TEXT(C628, "mmmm")</f>
        <v>April</v>
      </c>
      <c r="AC628">
        <f>YEAR(C628)</f>
        <v>2025</v>
      </c>
      <c r="AD628" t="str">
        <f>IF(X628&lt;0, "Invalid: Ship Date Before Order Date", IF(W628&lt;0, "Invalid: Negative Discount", IF(W628&gt;0.5, "Invalid: Exceeds Allowed Discount", "OK")))</f>
        <v>OK</v>
      </c>
    </row>
    <row r="629" spans="1:30">
      <c r="A629" t="s">
        <v>2977</v>
      </c>
      <c r="B629" t="str">
        <f t="shared" si="9"/>
        <v>Unique</v>
      </c>
      <c r="C629" s="3">
        <v>45701</v>
      </c>
      <c r="D629" s="3">
        <v>45709</v>
      </c>
      <c r="E629" t="s">
        <v>2978</v>
      </c>
      <c r="F629" t="s">
        <v>25</v>
      </c>
      <c r="G629" t="s">
        <v>41</v>
      </c>
      <c r="H629" t="s">
        <v>62</v>
      </c>
      <c r="I629" t="s">
        <v>242</v>
      </c>
      <c r="J629" t="s">
        <v>243</v>
      </c>
      <c r="K629" t="s">
        <v>86</v>
      </c>
      <c r="L629" t="s">
        <v>223</v>
      </c>
      <c r="M629" t="s">
        <v>2979</v>
      </c>
      <c r="N629" t="s">
        <v>33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137</v>
      </c>
      <c r="V629" t="s">
        <v>78</v>
      </c>
      <c r="W629">
        <f>IF(ISBLANK(Q629), 0, IFERROR(VALUE(Q629), 0.7))</f>
        <v>0.15</v>
      </c>
      <c r="X629">
        <f>D629 - C629</f>
        <v>8</v>
      </c>
      <c r="Y629">
        <f>O629 * P629 * (1 - W629)</f>
        <v>4012.0339999999997</v>
      </c>
      <c r="Z629">
        <f>Y629 - S629</f>
        <v>869.11399999999958</v>
      </c>
      <c r="AA629">
        <f>IFERROR(Z629 / Y629, 0)</f>
        <v>0.21662677833737193</v>
      </c>
      <c r="AB629" t="str">
        <f>TEXT(C629, "mmmm")</f>
        <v>February</v>
      </c>
      <c r="AC629">
        <f>YEAR(C629)</f>
        <v>2025</v>
      </c>
      <c r="AD629" t="str">
        <f>IF(X629&lt;0, "Invalid: Ship Date Before Order Date", IF(W629&lt;0, "Invalid: Negative Discount", IF(W629&gt;0.5, "Invalid: Exceeds Allowed Discount", "OK")))</f>
        <v>OK</v>
      </c>
    </row>
    <row r="630" spans="1:30">
      <c r="A630" t="s">
        <v>2980</v>
      </c>
      <c r="B630" t="str">
        <f t="shared" si="9"/>
        <v>Unique</v>
      </c>
      <c r="C630" s="3">
        <v>45935</v>
      </c>
      <c r="D630" s="3">
        <v>45942</v>
      </c>
      <c r="E630" t="s">
        <v>2982</v>
      </c>
      <c r="F630" t="s">
        <v>72</v>
      </c>
      <c r="G630" t="s">
        <v>115</v>
      </c>
      <c r="H630" t="s">
        <v>42</v>
      </c>
      <c r="I630" t="s">
        <v>311</v>
      </c>
      <c r="J630" t="s">
        <v>312</v>
      </c>
      <c r="K630" t="s">
        <v>86</v>
      </c>
      <c r="L630" t="s">
        <v>87</v>
      </c>
      <c r="M630" t="s">
        <v>2983</v>
      </c>
      <c r="N630" t="s">
        <v>48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34</v>
      </c>
      <c r="V630" t="s">
        <v>35</v>
      </c>
      <c r="W630">
        <f>IF(ISBLANK(Q630), 0, IFERROR(VALUE(Q630), 0.7))</f>
        <v>0.05</v>
      </c>
      <c r="X630">
        <f>D630 - C630</f>
        <v>7</v>
      </c>
      <c r="Y630">
        <f>O630 * P630 * (1 - W630)</f>
        <v>5364.3554999999997</v>
      </c>
      <c r="Z630">
        <f>Y630 - S630</f>
        <v>973.0654999999997</v>
      </c>
      <c r="AA630">
        <f>IFERROR(Z630 / Y630, 0)</f>
        <v>0.18139467080434915</v>
      </c>
      <c r="AB630" t="str">
        <f>TEXT(C630, "mmmm")</f>
        <v>October</v>
      </c>
      <c r="AC630">
        <f>YEAR(C630)</f>
        <v>2025</v>
      </c>
      <c r="AD630" t="str">
        <f>IF(X630&lt;0, "Invalid: Ship Date Before Order Date", IF(W630&lt;0, "Invalid: Negative Discount", IF(W630&gt;0.5, "Invalid: Exceeds Allowed Discount", "OK")))</f>
        <v>OK</v>
      </c>
    </row>
    <row r="631" spans="1:30">
      <c r="A631" t="s">
        <v>2984</v>
      </c>
      <c r="B631" t="str">
        <f t="shared" si="9"/>
        <v>Unique</v>
      </c>
      <c r="C631" s="3">
        <v>45910</v>
      </c>
      <c r="D631" s="3">
        <v>45914</v>
      </c>
      <c r="E631" t="s">
        <v>2986</v>
      </c>
      <c r="F631" t="s">
        <v>61</v>
      </c>
      <c r="G631" t="s">
        <v>115</v>
      </c>
      <c r="H631" t="s">
        <v>73</v>
      </c>
      <c r="I631" t="s">
        <v>235</v>
      </c>
      <c r="J631" t="s">
        <v>236</v>
      </c>
      <c r="K631" t="s">
        <v>45</v>
      </c>
      <c r="L631" t="s">
        <v>46</v>
      </c>
      <c r="M631" t="s">
        <v>2987</v>
      </c>
      <c r="N631" t="s">
        <v>48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34</v>
      </c>
      <c r="V631" t="s">
        <v>35</v>
      </c>
      <c r="W631">
        <f>IF(ISBLANK(Q631), 0, IFERROR(VALUE(Q631), 0.7))</f>
        <v>0.15</v>
      </c>
      <c r="X631">
        <f>D631 - C631</f>
        <v>4</v>
      </c>
      <c r="Y631">
        <f>O631 * P631 * (1 - W631)</f>
        <v>10706.073</v>
      </c>
      <c r="Z631">
        <f>Y631 - S631</f>
        <v>4778.973</v>
      </c>
      <c r="AA631">
        <f>IFERROR(Z631 / Y631, 0)</f>
        <v>0.44637963892082555</v>
      </c>
      <c r="AB631" t="str">
        <f>TEXT(C631, "mmmm")</f>
        <v>September</v>
      </c>
      <c r="AC631">
        <f>YEAR(C631)</f>
        <v>2025</v>
      </c>
      <c r="AD631" t="str">
        <f>IF(X631&lt;0, "Invalid: Ship Date Before Order Date", IF(W631&lt;0, "Invalid: Negative Discount", IF(W631&gt;0.5, "Invalid: Exceeds Allowed Discount", "OK")))</f>
        <v>OK</v>
      </c>
    </row>
    <row r="632" spans="1:30">
      <c r="A632" t="s">
        <v>2988</v>
      </c>
      <c r="B632" t="str">
        <f t="shared" si="9"/>
        <v>Unique</v>
      </c>
      <c r="C632" s="3">
        <v>45391</v>
      </c>
      <c r="D632" s="3">
        <v>45392</v>
      </c>
      <c r="E632" t="s">
        <v>2989</v>
      </c>
      <c r="F632" t="s">
        <v>142</v>
      </c>
      <c r="G632" t="s">
        <v>108</v>
      </c>
      <c r="H632" t="s">
        <v>42</v>
      </c>
      <c r="I632" t="s">
        <v>216</v>
      </c>
      <c r="J632" t="s">
        <v>217</v>
      </c>
      <c r="K632" t="s">
        <v>30</v>
      </c>
      <c r="L632" t="s">
        <v>31</v>
      </c>
      <c r="M632" t="s">
        <v>2990</v>
      </c>
      <c r="N632" t="s">
        <v>67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34</v>
      </c>
      <c r="V632" t="s">
        <v>35</v>
      </c>
      <c r="W632">
        <f>IF(ISBLANK(Q632), 0, IFERROR(VALUE(Q632), 0.7))</f>
        <v>0.1</v>
      </c>
      <c r="X632">
        <f>D632 - C632</f>
        <v>1</v>
      </c>
      <c r="Y632">
        <f>O632 * P632 * (1 - W632)</f>
        <v>10969.380000000001</v>
      </c>
      <c r="Z632">
        <f>Y632 - S632</f>
        <v>1714.9200000000019</v>
      </c>
      <c r="AA632">
        <f>IFERROR(Z632 / Y632, 0)</f>
        <v>0.15633700354988173</v>
      </c>
      <c r="AB632" t="str">
        <f>TEXT(C632, "mmmm")</f>
        <v>April</v>
      </c>
      <c r="AC632">
        <f>YEAR(C632)</f>
        <v>2024</v>
      </c>
      <c r="AD632" t="str">
        <f>IF(X632&lt;0, "Invalid: Ship Date Before Order Date", IF(W632&lt;0, "Invalid: Negative Discount", IF(W632&gt;0.5, "Invalid: Exceeds Allowed Discount", "OK")))</f>
        <v>OK</v>
      </c>
    </row>
    <row r="633" spans="1:30">
      <c r="A633" t="s">
        <v>2991</v>
      </c>
      <c r="B633" t="str">
        <f t="shared" si="9"/>
        <v>Unique</v>
      </c>
      <c r="C633" s="3">
        <v>45392</v>
      </c>
      <c r="D633" s="3">
        <v>45397</v>
      </c>
      <c r="E633" t="s">
        <v>2992</v>
      </c>
      <c r="F633" t="s">
        <v>162</v>
      </c>
      <c r="G633" t="s">
        <v>115</v>
      </c>
      <c r="H633" t="s">
        <v>73</v>
      </c>
      <c r="I633" t="s">
        <v>28</v>
      </c>
      <c r="J633" t="s">
        <v>135</v>
      </c>
      <c r="K633" t="s">
        <v>45</v>
      </c>
      <c r="L633" t="s">
        <v>76</v>
      </c>
      <c r="M633" t="s">
        <v>2993</v>
      </c>
      <c r="N633" t="s">
        <v>67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34</v>
      </c>
      <c r="V633" t="s">
        <v>35</v>
      </c>
      <c r="W633">
        <f>IF(ISBLANK(Q633), 0, IFERROR(VALUE(Q633), 0.7))</f>
        <v>0.1</v>
      </c>
      <c r="X633">
        <f>D633 - C633</f>
        <v>5</v>
      </c>
      <c r="Y633">
        <f>O633 * P633 * (1 - W633)</f>
        <v>31409.855999999996</v>
      </c>
      <c r="Z633">
        <f>Y633 - S633</f>
        <v>8886.3159999999953</v>
      </c>
      <c r="AA633">
        <f>IFERROR(Z633 / Y633, 0)</f>
        <v>0.2829148914277097</v>
      </c>
      <c r="AB633" t="str">
        <f>TEXT(C633, "mmmm")</f>
        <v>April</v>
      </c>
      <c r="AC633">
        <f>YEAR(C633)</f>
        <v>2024</v>
      </c>
      <c r="AD633" t="str">
        <f>IF(X633&lt;0, "Invalid: Ship Date Before Order Date", IF(W633&lt;0, "Invalid: Negative Discount", IF(W633&gt;0.5, "Invalid: Exceeds Allowed Discount", "OK")))</f>
        <v>OK</v>
      </c>
    </row>
    <row r="634" spans="1:30">
      <c r="A634" t="s">
        <v>2994</v>
      </c>
      <c r="B634" t="str">
        <f t="shared" si="9"/>
        <v>Unique</v>
      </c>
      <c r="C634" s="3">
        <v>45762</v>
      </c>
      <c r="D634" s="3">
        <v>45763</v>
      </c>
      <c r="E634" t="s">
        <v>2997</v>
      </c>
      <c r="F634" t="s">
        <v>168</v>
      </c>
      <c r="G634" t="s">
        <v>41</v>
      </c>
      <c r="H634" t="s">
        <v>62</v>
      </c>
      <c r="I634" t="s">
        <v>229</v>
      </c>
      <c r="J634" t="s">
        <v>230</v>
      </c>
      <c r="K634" t="s">
        <v>45</v>
      </c>
      <c r="L634" t="s">
        <v>65</v>
      </c>
      <c r="M634" t="s">
        <v>2998</v>
      </c>
      <c r="N634" t="s">
        <v>56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34</v>
      </c>
      <c r="V634" t="s">
        <v>35</v>
      </c>
      <c r="W634">
        <f>IF(ISBLANK(Q634), 0, IFERROR(VALUE(Q634), 0.7))</f>
        <v>0</v>
      </c>
      <c r="X634">
        <f>D634 - C634</f>
        <v>1</v>
      </c>
      <c r="Y634">
        <f>O634 * P634 * (1 - W634)</f>
        <v>14252.650000000001</v>
      </c>
      <c r="Z634">
        <f>Y634 - S634</f>
        <v>2694.340000000002</v>
      </c>
      <c r="AA634">
        <f>IFERROR(Z634 / Y634, 0)</f>
        <v>0.18904133617257154</v>
      </c>
      <c r="AB634" t="str">
        <f>TEXT(C634, "mmmm")</f>
        <v>April</v>
      </c>
      <c r="AC634">
        <f>YEAR(C634)</f>
        <v>2025</v>
      </c>
      <c r="AD634" t="str">
        <f>IF(X634&lt;0, "Invalid: Ship Date Before Order Date", IF(W634&lt;0, "Invalid: Negative Discount", IF(W634&gt;0.5, "Invalid: Exceeds Allowed Discount", "OK")))</f>
        <v>OK</v>
      </c>
    </row>
    <row r="635" spans="1:30">
      <c r="A635" t="s">
        <v>2999</v>
      </c>
      <c r="B635" t="str">
        <f t="shared" si="9"/>
        <v>Unique</v>
      </c>
      <c r="C635" s="3">
        <v>45765</v>
      </c>
      <c r="D635" s="3">
        <v>45767</v>
      </c>
      <c r="E635" t="s">
        <v>3002</v>
      </c>
      <c r="F635" t="s">
        <v>162</v>
      </c>
      <c r="G635" t="s">
        <v>41</v>
      </c>
      <c r="H635" t="s">
        <v>62</v>
      </c>
      <c r="I635" t="s">
        <v>339</v>
      </c>
      <c r="J635" t="s">
        <v>340</v>
      </c>
      <c r="K635" t="s">
        <v>86</v>
      </c>
      <c r="L635" t="s">
        <v>87</v>
      </c>
      <c r="M635" t="s">
        <v>3003</v>
      </c>
      <c r="N635" t="s">
        <v>33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34</v>
      </c>
      <c r="V635" t="s">
        <v>35</v>
      </c>
      <c r="W635">
        <f>IF(ISBLANK(Q635), 0, IFERROR(VALUE(Q635), 0.7))</f>
        <v>0.15</v>
      </c>
      <c r="X635">
        <f>D635 - C635</f>
        <v>2</v>
      </c>
      <c r="Y635">
        <f>O635 * P635 * (1 - W635)</f>
        <v>1382.1679999999999</v>
      </c>
      <c r="Z635">
        <f>Y635 - S635</f>
        <v>572.13799999999992</v>
      </c>
      <c r="AA635">
        <f>IFERROR(Z635 / Y635, 0)</f>
        <v>0.4139424440444287</v>
      </c>
      <c r="AB635" t="str">
        <f>TEXT(C635, "mmmm")</f>
        <v>April</v>
      </c>
      <c r="AC635">
        <f>YEAR(C635)</f>
        <v>2025</v>
      </c>
      <c r="AD635" t="str">
        <f>IF(X635&lt;0, "Invalid: Ship Date Before Order Date", IF(W635&lt;0, "Invalid: Negative Discount", IF(W635&gt;0.5, "Invalid: Exceeds Allowed Discount", "OK")))</f>
        <v>OK</v>
      </c>
    </row>
    <row r="636" spans="1:30">
      <c r="A636" t="s">
        <v>3004</v>
      </c>
      <c r="B636" t="str">
        <f t="shared" si="9"/>
        <v>Unique</v>
      </c>
      <c r="C636" s="3">
        <v>45668</v>
      </c>
      <c r="D636" s="3">
        <v>45669</v>
      </c>
      <c r="E636" t="s">
        <v>3006</v>
      </c>
      <c r="F636" t="s">
        <v>107</v>
      </c>
      <c r="G636" t="s">
        <v>26</v>
      </c>
      <c r="H636" t="s">
        <v>62</v>
      </c>
      <c r="I636" t="s">
        <v>63</v>
      </c>
      <c r="J636" t="s">
        <v>64</v>
      </c>
      <c r="K636" t="s">
        <v>45</v>
      </c>
      <c r="L636" t="s">
        <v>76</v>
      </c>
      <c r="M636" t="s">
        <v>3007</v>
      </c>
      <c r="N636" t="s">
        <v>33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34</v>
      </c>
      <c r="V636" t="s">
        <v>35</v>
      </c>
      <c r="W636">
        <f>IF(ISBLANK(Q636), 0, IFERROR(VALUE(Q636), 0.7))</f>
        <v>0.05</v>
      </c>
      <c r="X636">
        <f>D636 - C636</f>
        <v>1</v>
      </c>
      <c r="Y636">
        <f>O636 * P636 * (1 - W636)</f>
        <v>9223.17</v>
      </c>
      <c r="Z636">
        <f>Y636 - S636</f>
        <v>4119.47</v>
      </c>
      <c r="AA636">
        <f>IFERROR(Z636 / Y636, 0)</f>
        <v>0.44664361602355807</v>
      </c>
      <c r="AB636" t="str">
        <f>TEXT(C636, "mmmm")</f>
        <v>January</v>
      </c>
      <c r="AC636">
        <f>YEAR(C636)</f>
        <v>2025</v>
      </c>
      <c r="AD636" t="str">
        <f>IF(X636&lt;0, "Invalid: Ship Date Before Order Date", IF(W636&lt;0, "Invalid: Negative Discount", IF(W636&gt;0.5, "Invalid: Exceeds Allowed Discount", "OK")))</f>
        <v>OK</v>
      </c>
    </row>
    <row r="637" spans="1:30">
      <c r="A637" t="s">
        <v>3008</v>
      </c>
      <c r="B637" t="str">
        <f t="shared" si="9"/>
        <v>Unique</v>
      </c>
      <c r="C637" s="3">
        <v>45432</v>
      </c>
      <c r="D637" s="3">
        <v>45437</v>
      </c>
      <c r="E637" t="s">
        <v>3010</v>
      </c>
      <c r="F637" t="s">
        <v>40</v>
      </c>
      <c r="G637" t="s">
        <v>108</v>
      </c>
      <c r="H637" t="s">
        <v>62</v>
      </c>
      <c r="I637" t="s">
        <v>100</v>
      </c>
      <c r="J637" t="s">
        <v>101</v>
      </c>
      <c r="K637" t="s">
        <v>45</v>
      </c>
      <c r="L637" t="s">
        <v>76</v>
      </c>
      <c r="M637" t="s">
        <v>3011</v>
      </c>
      <c r="N637" t="s">
        <v>48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34</v>
      </c>
      <c r="V637" t="s">
        <v>35</v>
      </c>
      <c r="W637">
        <f>IF(ISBLANK(Q637), 0, IFERROR(VALUE(Q637), 0.7))</f>
        <v>0.25</v>
      </c>
      <c r="X637">
        <f>D637 - C637</f>
        <v>5</v>
      </c>
      <c r="Y637">
        <f>O637 * P637 * (1 - W637)</f>
        <v>16394.962500000001</v>
      </c>
      <c r="Z637">
        <f>Y637 - S637</f>
        <v>5990.7925000000014</v>
      </c>
      <c r="AA637">
        <f>IFERROR(Z637 / Y637, 0)</f>
        <v>0.36540446493854445</v>
      </c>
      <c r="AB637" t="str">
        <f>TEXT(C637, "mmmm")</f>
        <v>May</v>
      </c>
      <c r="AC637">
        <f>YEAR(C637)</f>
        <v>2024</v>
      </c>
      <c r="AD637" t="str">
        <f>IF(X637&lt;0, "Invalid: Ship Date Before Order Date", IF(W637&lt;0, "Invalid: Negative Discount", IF(W637&gt;0.5, "Invalid: Exceeds Allowed Discount", "OK")))</f>
        <v>OK</v>
      </c>
    </row>
    <row r="638" spans="1:30">
      <c r="A638" t="s">
        <v>3012</v>
      </c>
      <c r="B638" t="str">
        <f t="shared" si="9"/>
        <v>Unique</v>
      </c>
      <c r="C638" s="3">
        <v>45567</v>
      </c>
      <c r="D638" s="3">
        <v>45574</v>
      </c>
      <c r="E638" t="s">
        <v>3015</v>
      </c>
      <c r="F638" t="s">
        <v>72</v>
      </c>
      <c r="G638" t="s">
        <v>26</v>
      </c>
      <c r="H638" t="s">
        <v>62</v>
      </c>
      <c r="I638" t="s">
        <v>339</v>
      </c>
      <c r="J638" t="s">
        <v>340</v>
      </c>
      <c r="K638" t="s">
        <v>30</v>
      </c>
      <c r="L638" t="s">
        <v>31</v>
      </c>
      <c r="M638" t="s">
        <v>3016</v>
      </c>
      <c r="N638" t="s">
        <v>67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34</v>
      </c>
      <c r="V638" t="s">
        <v>35</v>
      </c>
      <c r="W638">
        <f>IF(ISBLANK(Q638), 0, IFERROR(VALUE(Q638), 0.7))</f>
        <v>0.15</v>
      </c>
      <c r="X638">
        <f>D638 - C638</f>
        <v>7</v>
      </c>
      <c r="Y638">
        <f>O638 * P638 * (1 - W638)</f>
        <v>12990.108</v>
      </c>
      <c r="Z638">
        <f>Y638 - S638</f>
        <v>2789.3080000000009</v>
      </c>
      <c r="AA638">
        <f>IFERROR(Z638 / Y638, 0)</f>
        <v>0.2147255434673831</v>
      </c>
      <c r="AB638" t="str">
        <f>TEXT(C638, "mmmm")</f>
        <v>October</v>
      </c>
      <c r="AC638">
        <f>YEAR(C638)</f>
        <v>2024</v>
      </c>
      <c r="AD638" t="str">
        <f>IF(X638&lt;0, "Invalid: Ship Date Before Order Date", IF(W638&lt;0, "Invalid: Negative Discount", IF(W638&gt;0.5, "Invalid: Exceeds Allowed Discount", "OK")))</f>
        <v>OK</v>
      </c>
    </row>
    <row r="639" spans="1:30">
      <c r="A639" t="s">
        <v>3017</v>
      </c>
      <c r="B639" t="str">
        <f t="shared" si="9"/>
        <v>Unique</v>
      </c>
      <c r="C639" s="3">
        <v>45438</v>
      </c>
      <c r="D639" s="3">
        <v>45438</v>
      </c>
      <c r="E639" t="s">
        <v>3020</v>
      </c>
      <c r="F639" t="s">
        <v>148</v>
      </c>
      <c r="G639" t="s">
        <v>41</v>
      </c>
      <c r="H639" t="s">
        <v>73</v>
      </c>
      <c r="I639" t="s">
        <v>249</v>
      </c>
      <c r="J639" t="s">
        <v>250</v>
      </c>
      <c r="K639" t="s">
        <v>86</v>
      </c>
      <c r="L639" t="s">
        <v>94</v>
      </c>
      <c r="M639" t="s">
        <v>3021</v>
      </c>
      <c r="N639" t="s">
        <v>56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34</v>
      </c>
      <c r="V639" t="s">
        <v>35</v>
      </c>
      <c r="W639">
        <f>IF(ISBLANK(Q639), 0, IFERROR(VALUE(Q639), 0.7))</f>
        <v>0.2</v>
      </c>
      <c r="X639">
        <f>D639 - C639</f>
        <v>0</v>
      </c>
      <c r="Y639">
        <f>O639 * P639 * (1 - W639)</f>
        <v>5107.9520000000002</v>
      </c>
      <c r="Z639">
        <f>Y639 - S639</f>
        <v>1974.8720000000003</v>
      </c>
      <c r="AA639">
        <f>IFERROR(Z639 / Y639, 0)</f>
        <v>0.38662696908663202</v>
      </c>
      <c r="AB639" t="str">
        <f>TEXT(C639, "mmmm")</f>
        <v>May</v>
      </c>
      <c r="AC639">
        <f>YEAR(C639)</f>
        <v>2024</v>
      </c>
      <c r="AD639" t="str">
        <f>IF(X639&lt;0, "Invalid: Ship Date Before Order Date", IF(W639&lt;0, "Invalid: Negative Discount", IF(W639&gt;0.5, "Invalid: Exceeds Allowed Discount", "OK")))</f>
        <v>OK</v>
      </c>
    </row>
    <row r="640" spans="1:30">
      <c r="A640" t="s">
        <v>3022</v>
      </c>
      <c r="B640" t="str">
        <f t="shared" si="9"/>
        <v>Unique</v>
      </c>
      <c r="C640" s="3">
        <v>45317</v>
      </c>
      <c r="D640" s="3">
        <v>45322</v>
      </c>
      <c r="E640" t="s">
        <v>3024</v>
      </c>
      <c r="F640" t="s">
        <v>25</v>
      </c>
      <c r="G640" t="s">
        <v>108</v>
      </c>
      <c r="H640" t="s">
        <v>62</v>
      </c>
      <c r="I640" t="s">
        <v>242</v>
      </c>
      <c r="J640" t="s">
        <v>243</v>
      </c>
      <c r="K640" t="s">
        <v>30</v>
      </c>
      <c r="L640" t="s">
        <v>156</v>
      </c>
      <c r="M640" t="s">
        <v>3025</v>
      </c>
      <c r="N640" t="s">
        <v>33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200</v>
      </c>
      <c r="V640" t="s">
        <v>125</v>
      </c>
      <c r="W640">
        <f>IF(ISBLANK(Q640), 0, IFERROR(VALUE(Q640), 0.7))</f>
        <v>0.2</v>
      </c>
      <c r="X640">
        <f>D640 - C640</f>
        <v>5</v>
      </c>
      <c r="Y640">
        <f>O640 * P640 * (1 - W640)</f>
        <v>7738.3680000000013</v>
      </c>
      <c r="Z640">
        <f>Y640 - S640</f>
        <v>3111.5180000000009</v>
      </c>
      <c r="AA640">
        <f>IFERROR(Z640 / Y640, 0)</f>
        <v>0.40208969126306743</v>
      </c>
      <c r="AB640" t="str">
        <f>TEXT(C640, "mmmm")</f>
        <v>January</v>
      </c>
      <c r="AC640">
        <f>YEAR(C640)</f>
        <v>2024</v>
      </c>
      <c r="AD640" t="str">
        <f>IF(X640&lt;0, "Invalid: Ship Date Before Order Date", IF(W640&lt;0, "Invalid: Negative Discount", IF(W640&gt;0.5, "Invalid: Exceeds Allowed Discount", "OK")))</f>
        <v>OK</v>
      </c>
    </row>
    <row r="641" spans="1:30">
      <c r="A641" t="s">
        <v>3026</v>
      </c>
      <c r="B641" t="str">
        <f t="shared" si="9"/>
        <v>Unique</v>
      </c>
      <c r="C641" s="3">
        <v>45653</v>
      </c>
      <c r="D641" s="3">
        <v>45657</v>
      </c>
      <c r="E641" t="s">
        <v>3028</v>
      </c>
      <c r="F641" t="s">
        <v>53</v>
      </c>
      <c r="G641" t="s">
        <v>41</v>
      </c>
      <c r="H641" t="s">
        <v>42</v>
      </c>
      <c r="I641" t="s">
        <v>43</v>
      </c>
      <c r="J641" t="s">
        <v>44</v>
      </c>
      <c r="K641" t="s">
        <v>45</v>
      </c>
      <c r="L641" t="s">
        <v>76</v>
      </c>
      <c r="M641" t="s">
        <v>3029</v>
      </c>
      <c r="N641" t="s">
        <v>33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34</v>
      </c>
      <c r="V641" t="s">
        <v>35</v>
      </c>
      <c r="W641">
        <f>IF(ISBLANK(Q641), 0, IFERROR(VALUE(Q641), 0.7))</f>
        <v>0.05</v>
      </c>
      <c r="X641">
        <f>D641 - C641</f>
        <v>4</v>
      </c>
      <c r="Y641">
        <f>O641 * P641 * (1 - W641)</f>
        <v>1514.9649999999999</v>
      </c>
      <c r="Z641">
        <f>Y641 - S641</f>
        <v>468.79499999999985</v>
      </c>
      <c r="AA641">
        <f>IFERROR(Z641 / Y641, 0)</f>
        <v>0.3094427924077453</v>
      </c>
      <c r="AB641" t="str">
        <f>TEXT(C641, "mmmm")</f>
        <v>December</v>
      </c>
      <c r="AC641">
        <f>YEAR(C641)</f>
        <v>2024</v>
      </c>
      <c r="AD641" t="str">
        <f>IF(X641&lt;0, "Invalid: Ship Date Before Order Date", IF(W641&lt;0, "Invalid: Negative Discount", IF(W641&gt;0.5, "Invalid: Exceeds Allowed Discount", "OK")))</f>
        <v>OK</v>
      </c>
    </row>
    <row r="642" spans="1:30">
      <c r="A642" t="s">
        <v>3030</v>
      </c>
      <c r="B642" t="str">
        <f t="shared" si="9"/>
        <v>Unique</v>
      </c>
      <c r="C642" s="3">
        <v>45671</v>
      </c>
      <c r="D642" s="3">
        <v>45674</v>
      </c>
      <c r="E642" t="s">
        <v>3033</v>
      </c>
      <c r="F642" t="s">
        <v>83</v>
      </c>
      <c r="G642" t="s">
        <v>26</v>
      </c>
      <c r="H642" t="s">
        <v>73</v>
      </c>
      <c r="I642" t="s">
        <v>249</v>
      </c>
      <c r="J642" t="s">
        <v>250</v>
      </c>
      <c r="K642" t="s">
        <v>30</v>
      </c>
      <c r="L642" t="s">
        <v>156</v>
      </c>
      <c r="M642" t="s">
        <v>3034</v>
      </c>
      <c r="N642" t="s">
        <v>56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34</v>
      </c>
      <c r="V642" t="s">
        <v>35</v>
      </c>
      <c r="W642">
        <f>IF(ISBLANK(Q642), 0, IFERROR(VALUE(Q642), 0.7))</f>
        <v>0.2</v>
      </c>
      <c r="X642">
        <f>D642 - C642</f>
        <v>3</v>
      </c>
      <c r="Y642">
        <f>O642 * P642 * (1 - W642)</f>
        <v>1267.296</v>
      </c>
      <c r="Z642">
        <f>Y642 - S642</f>
        <v>343.76600000000008</v>
      </c>
      <c r="AA642">
        <f>IFERROR(Z642 / Y642, 0)</f>
        <v>0.27125943741635739</v>
      </c>
      <c r="AB642" t="str">
        <f>TEXT(C642, "mmmm")</f>
        <v>January</v>
      </c>
      <c r="AC642">
        <f>YEAR(C642)</f>
        <v>2025</v>
      </c>
      <c r="AD642" t="str">
        <f>IF(X642&lt;0, "Invalid: Ship Date Before Order Date", IF(W642&lt;0, "Invalid: Negative Discount", IF(W642&gt;0.5, "Invalid: Exceeds Allowed Discount", "OK")))</f>
        <v>OK</v>
      </c>
    </row>
    <row r="643" spans="1:30">
      <c r="A643" t="s">
        <v>3035</v>
      </c>
      <c r="B643" t="str">
        <f t="shared" ref="B643:B706" si="10">IF(COUNTIF(A:A, A643)&gt;1, "Review: Duplicate Order ID", "Unique")</f>
        <v>Unique</v>
      </c>
      <c r="C643" s="3">
        <v>45756</v>
      </c>
      <c r="D643" s="3">
        <v>45761</v>
      </c>
      <c r="E643" t="s">
        <v>3037</v>
      </c>
      <c r="F643" t="s">
        <v>25</v>
      </c>
      <c r="G643" t="s">
        <v>26</v>
      </c>
      <c r="H643" t="s">
        <v>27</v>
      </c>
      <c r="I643" t="s">
        <v>506</v>
      </c>
      <c r="J643" t="s">
        <v>507</v>
      </c>
      <c r="K643" t="s">
        <v>45</v>
      </c>
      <c r="L643" t="s">
        <v>65</v>
      </c>
      <c r="M643" t="s">
        <v>3038</v>
      </c>
      <c r="N643" t="s">
        <v>48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34</v>
      </c>
      <c r="V643" t="s">
        <v>35</v>
      </c>
      <c r="W643">
        <f>IF(ISBLANK(Q643), 0, IFERROR(VALUE(Q643), 0.7))</f>
        <v>0</v>
      </c>
      <c r="X643">
        <f>D643 - C643</f>
        <v>5</v>
      </c>
      <c r="Y643">
        <f>O643 * P643 * (1 - W643)</f>
        <v>6405.74</v>
      </c>
      <c r="Z643">
        <f>Y643 - S643</f>
        <v>2843.87</v>
      </c>
      <c r="AA643">
        <f>IFERROR(Z643 / Y643, 0)</f>
        <v>0.44395651400150488</v>
      </c>
      <c r="AB643" t="str">
        <f>TEXT(C643, "mmmm")</f>
        <v>April</v>
      </c>
      <c r="AC643">
        <f>YEAR(C643)</f>
        <v>2025</v>
      </c>
      <c r="AD643" t="str">
        <f>IF(X643&lt;0, "Invalid: Ship Date Before Order Date", IF(W643&lt;0, "Invalid: Negative Discount", IF(W643&gt;0.5, "Invalid: Exceeds Allowed Discount", "OK")))</f>
        <v>OK</v>
      </c>
    </row>
    <row r="644" spans="1:30">
      <c r="A644" t="s">
        <v>3039</v>
      </c>
      <c r="B644" t="str">
        <f t="shared" si="10"/>
        <v>Unique</v>
      </c>
      <c r="C644" s="3">
        <v>45533</v>
      </c>
      <c r="D644" s="3">
        <v>45535</v>
      </c>
      <c r="E644" t="s">
        <v>3040</v>
      </c>
      <c r="F644" t="s">
        <v>53</v>
      </c>
      <c r="G644" t="s">
        <v>115</v>
      </c>
      <c r="H644" t="s">
        <v>42</v>
      </c>
      <c r="I644" t="s">
        <v>216</v>
      </c>
      <c r="J644" t="s">
        <v>217</v>
      </c>
      <c r="K644" t="s">
        <v>30</v>
      </c>
      <c r="L644" t="s">
        <v>198</v>
      </c>
      <c r="M644" t="s">
        <v>3042</v>
      </c>
      <c r="N644" t="s">
        <v>33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200</v>
      </c>
      <c r="V644" t="s">
        <v>125</v>
      </c>
      <c r="W644">
        <f>IF(ISBLANK(Q644), 0, IFERROR(VALUE(Q644), 0.7))</f>
        <v>0.25</v>
      </c>
      <c r="X644">
        <f>D644 - C644</f>
        <v>2</v>
      </c>
      <c r="Y644">
        <f>O644 * P644 * (1 - W644)</f>
        <v>8607.6674999999996</v>
      </c>
      <c r="Z644">
        <f>Y644 - S644</f>
        <v>3270.0274999999992</v>
      </c>
      <c r="AA644">
        <f>IFERROR(Z644 / Y644, 0)</f>
        <v>0.37989705108846261</v>
      </c>
      <c r="AB644" t="str">
        <f>TEXT(C644, "mmmm")</f>
        <v>August</v>
      </c>
      <c r="AC644">
        <f>YEAR(C644)</f>
        <v>2024</v>
      </c>
      <c r="AD644" t="str">
        <f>IF(X644&lt;0, "Invalid: Ship Date Before Order Date", IF(W644&lt;0, "Invalid: Negative Discount", IF(W644&gt;0.5, "Invalid: Exceeds Allowed Discount", "OK")))</f>
        <v>OK</v>
      </c>
    </row>
    <row r="645" spans="1:30">
      <c r="A645" t="s">
        <v>3043</v>
      </c>
      <c r="B645" t="str">
        <f t="shared" si="10"/>
        <v>Unique</v>
      </c>
      <c r="C645" s="3">
        <v>45414</v>
      </c>
      <c r="D645" s="3">
        <v>45335</v>
      </c>
      <c r="E645" t="s">
        <v>1096</v>
      </c>
      <c r="F645" t="s">
        <v>162</v>
      </c>
      <c r="G645" t="s">
        <v>115</v>
      </c>
      <c r="H645" t="s">
        <v>27</v>
      </c>
      <c r="I645" t="s">
        <v>174</v>
      </c>
      <c r="J645" t="s">
        <v>175</v>
      </c>
      <c r="K645" t="s">
        <v>30</v>
      </c>
      <c r="L645" t="s">
        <v>109</v>
      </c>
      <c r="M645" t="s">
        <v>3046</v>
      </c>
      <c r="N645" t="s">
        <v>67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200</v>
      </c>
      <c r="V645" t="s">
        <v>125</v>
      </c>
      <c r="W645">
        <f>IF(ISBLANK(Q645), 0, IFERROR(VALUE(Q645), 0.7))</f>
        <v>0.15</v>
      </c>
      <c r="X645">
        <f>D645 - C645</f>
        <v>-79</v>
      </c>
      <c r="Y645">
        <f>O645 * P645 * (1 - W645)</f>
        <v>26324.023999999998</v>
      </c>
      <c r="Z645">
        <f>Y645 - S645</f>
        <v>10046.063999999998</v>
      </c>
      <c r="AA645">
        <f>IFERROR(Z645 / Y645, 0)</f>
        <v>0.3816310150758106</v>
      </c>
      <c r="AB645" t="str">
        <f>TEXT(C645, "mmmm")</f>
        <v>May</v>
      </c>
      <c r="AC645">
        <f>YEAR(C645)</f>
        <v>2024</v>
      </c>
      <c r="AD645" t="str">
        <f>IF(X645&lt;0, "Invalid: Ship Date Before Order Date", IF(W645&lt;0, "Invalid: Negative Discount", IF(W645&gt;0.5, "Invalid: Exceeds Allowed Discount", "OK")))</f>
        <v>Invalid: Ship Date Before Order Date</v>
      </c>
    </row>
    <row r="646" spans="1:30">
      <c r="A646" t="s">
        <v>3047</v>
      </c>
      <c r="B646" t="str">
        <f t="shared" si="10"/>
        <v>Unique</v>
      </c>
      <c r="C646" s="3">
        <v>45757</v>
      </c>
      <c r="D646" s="3">
        <v>45764</v>
      </c>
      <c r="E646" t="s">
        <v>3049</v>
      </c>
      <c r="F646" t="s">
        <v>83</v>
      </c>
      <c r="G646" t="s">
        <v>26</v>
      </c>
      <c r="H646" t="s">
        <v>42</v>
      </c>
      <c r="I646" t="s">
        <v>121</v>
      </c>
      <c r="J646" t="s">
        <v>122</v>
      </c>
      <c r="K646" t="s">
        <v>45</v>
      </c>
      <c r="L646" t="s">
        <v>76</v>
      </c>
      <c r="M646" t="s">
        <v>3050</v>
      </c>
      <c r="N646" t="s">
        <v>67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34</v>
      </c>
      <c r="V646" t="s">
        <v>35</v>
      </c>
      <c r="W646">
        <f>IF(ISBLANK(Q646), 0, IFERROR(VALUE(Q646), 0.7))</f>
        <v>0.05</v>
      </c>
      <c r="X646">
        <f>D646 - C646</f>
        <v>7</v>
      </c>
      <c r="Y646">
        <f>O646 * P646 * (1 - W646)</f>
        <v>14250.075999999999</v>
      </c>
      <c r="Z646">
        <f>Y646 - S646</f>
        <v>3335.155999999999</v>
      </c>
      <c r="AA646">
        <f>IFERROR(Z646 / Y646, 0)</f>
        <v>0.23404478684885605</v>
      </c>
      <c r="AB646" t="str">
        <f>TEXT(C646, "mmmm")</f>
        <v>April</v>
      </c>
      <c r="AC646">
        <f>YEAR(C646)</f>
        <v>2025</v>
      </c>
      <c r="AD646" t="str">
        <f>IF(X646&lt;0, "Invalid: Ship Date Before Order Date", IF(W646&lt;0, "Invalid: Negative Discount", IF(W646&gt;0.5, "Invalid: Exceeds Allowed Discount", "OK")))</f>
        <v>OK</v>
      </c>
    </row>
    <row r="647" spans="1:30">
      <c r="A647" t="s">
        <v>3051</v>
      </c>
      <c r="B647" t="str">
        <f t="shared" si="10"/>
        <v>Unique</v>
      </c>
      <c r="C647" s="3">
        <v>45295</v>
      </c>
      <c r="D647" s="3">
        <v>45536</v>
      </c>
      <c r="E647" t="s">
        <v>3053</v>
      </c>
      <c r="F647" t="s">
        <v>366</v>
      </c>
      <c r="G647" t="s">
        <v>26</v>
      </c>
      <c r="H647" t="s">
        <v>42</v>
      </c>
      <c r="I647" t="s">
        <v>186</v>
      </c>
      <c r="J647" t="s">
        <v>187</v>
      </c>
      <c r="K647" t="s">
        <v>45</v>
      </c>
      <c r="L647" t="s">
        <v>76</v>
      </c>
      <c r="M647" t="s">
        <v>3054</v>
      </c>
      <c r="N647" t="s">
        <v>33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34</v>
      </c>
      <c r="V647" t="s">
        <v>35</v>
      </c>
      <c r="W647">
        <f>IF(ISBLANK(Q647), 0, IFERROR(VALUE(Q647), 0.7))</f>
        <v>0.1</v>
      </c>
      <c r="X647">
        <f>D647 - C647</f>
        <v>241</v>
      </c>
      <c r="Y647">
        <f>O647 * P647 * (1 - W647)</f>
        <v>13087.494000000001</v>
      </c>
      <c r="Z647">
        <f>Y647 - S647</f>
        <v>5478.6040000000003</v>
      </c>
      <c r="AA647">
        <f>IFERROR(Z647 / Y647, 0)</f>
        <v>0.41861367806548755</v>
      </c>
      <c r="AB647" t="str">
        <f>TEXT(C647, "mmmm")</f>
        <v>January</v>
      </c>
      <c r="AC647">
        <f>YEAR(C647)</f>
        <v>2024</v>
      </c>
      <c r="AD647" t="str">
        <f>IF(X647&lt;0, "Invalid: Ship Date Before Order Date", IF(W647&lt;0, "Invalid: Negative Discount", IF(W647&gt;0.5, "Invalid: Exceeds Allowed Discount", "OK")))</f>
        <v>OK</v>
      </c>
    </row>
    <row r="648" spans="1:30">
      <c r="A648" t="s">
        <v>3055</v>
      </c>
      <c r="B648" t="str">
        <f t="shared" si="10"/>
        <v>Unique</v>
      </c>
      <c r="C648" s="3">
        <v>45553</v>
      </c>
      <c r="D648" s="3">
        <v>45559</v>
      </c>
      <c r="E648" t="s">
        <v>3058</v>
      </c>
      <c r="F648" t="s">
        <v>83</v>
      </c>
      <c r="G648" t="s">
        <v>41</v>
      </c>
      <c r="H648" t="s">
        <v>42</v>
      </c>
      <c r="I648" t="s">
        <v>311</v>
      </c>
      <c r="J648" t="s">
        <v>312</v>
      </c>
      <c r="K648" t="s">
        <v>86</v>
      </c>
      <c r="L648" t="s">
        <v>382</v>
      </c>
      <c r="M648" t="s">
        <v>3059</v>
      </c>
      <c r="N648" t="s">
        <v>56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34</v>
      </c>
      <c r="V648" t="s">
        <v>35</v>
      </c>
      <c r="W648">
        <f>IF(ISBLANK(Q648), 0, IFERROR(VALUE(Q648), 0.7))</f>
        <v>0.25</v>
      </c>
      <c r="X648">
        <f>D648 - C648</f>
        <v>6</v>
      </c>
      <c r="Y648">
        <f>O648 * P648 * (1 - W648)</f>
        <v>1640.5650000000001</v>
      </c>
      <c r="Z648">
        <f>Y648 - S648</f>
        <v>503.58500000000004</v>
      </c>
      <c r="AA648">
        <f>IFERROR(Z648 / Y648, 0)</f>
        <v>0.30695827352162214</v>
      </c>
      <c r="AB648" t="str">
        <f>TEXT(C648, "mmmm")</f>
        <v>September</v>
      </c>
      <c r="AC648">
        <f>YEAR(C648)</f>
        <v>2024</v>
      </c>
      <c r="AD648" t="str">
        <f>IF(X648&lt;0, "Invalid: Ship Date Before Order Date", IF(W648&lt;0, "Invalid: Negative Discount", IF(W648&gt;0.5, "Invalid: Exceeds Allowed Discount", "OK")))</f>
        <v>OK</v>
      </c>
    </row>
    <row r="649" spans="1:30">
      <c r="A649" t="s">
        <v>3060</v>
      </c>
      <c r="B649" t="str">
        <f t="shared" si="10"/>
        <v>Unique</v>
      </c>
      <c r="C649" s="3">
        <v>45658</v>
      </c>
      <c r="D649" s="3">
        <v>45901</v>
      </c>
      <c r="E649" t="s">
        <v>3062</v>
      </c>
      <c r="F649" t="s">
        <v>180</v>
      </c>
      <c r="G649" t="s">
        <v>41</v>
      </c>
      <c r="H649" t="s">
        <v>27</v>
      </c>
      <c r="I649" t="s">
        <v>154</v>
      </c>
      <c r="J649" t="s">
        <v>155</v>
      </c>
      <c r="K649" t="s">
        <v>30</v>
      </c>
      <c r="L649" t="s">
        <v>54</v>
      </c>
      <c r="M649" t="s">
        <v>3064</v>
      </c>
      <c r="N649" t="s">
        <v>56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34</v>
      </c>
      <c r="V649" t="s">
        <v>35</v>
      </c>
      <c r="W649">
        <f>IF(ISBLANK(Q649), 0, IFERROR(VALUE(Q649), 0.7))</f>
        <v>0.15</v>
      </c>
      <c r="X649">
        <f>D649 - C649</f>
        <v>243</v>
      </c>
      <c r="Y649">
        <f>O649 * P649 * (1 - W649)</f>
        <v>14441.907999999999</v>
      </c>
      <c r="Z649">
        <f>Y649 - S649</f>
        <v>3569.018</v>
      </c>
      <c r="AA649">
        <f>IFERROR(Z649 / Y649, 0)</f>
        <v>0.24712925743606731</v>
      </c>
      <c r="AB649" t="str">
        <f>TEXT(C649, "mmmm")</f>
        <v>January</v>
      </c>
      <c r="AC649">
        <f>YEAR(C649)</f>
        <v>2025</v>
      </c>
      <c r="AD649" t="str">
        <f>IF(X649&lt;0, "Invalid: Ship Date Before Order Date", IF(W649&lt;0, "Invalid: Negative Discount", IF(W649&gt;0.5, "Invalid: Exceeds Allowed Discount", "OK")))</f>
        <v>OK</v>
      </c>
    </row>
    <row r="650" spans="1:30">
      <c r="A650" t="s">
        <v>3065</v>
      </c>
      <c r="B650" t="str">
        <f t="shared" si="10"/>
        <v>Unique</v>
      </c>
      <c r="C650" s="3">
        <v>45403</v>
      </c>
      <c r="D650" s="3">
        <v>45406</v>
      </c>
      <c r="E650" t="s">
        <v>3067</v>
      </c>
      <c r="F650" t="s">
        <v>93</v>
      </c>
      <c r="G650" t="s">
        <v>41</v>
      </c>
      <c r="H650" t="s">
        <v>62</v>
      </c>
      <c r="I650" t="s">
        <v>100</v>
      </c>
      <c r="J650" t="s">
        <v>101</v>
      </c>
      <c r="K650" t="s">
        <v>30</v>
      </c>
      <c r="L650" t="s">
        <v>54</v>
      </c>
      <c r="M650" t="s">
        <v>3068</v>
      </c>
      <c r="N650" t="s">
        <v>48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200</v>
      </c>
      <c r="V650" t="s">
        <v>125</v>
      </c>
      <c r="W650">
        <f>IF(ISBLANK(Q650), 0, IFERROR(VALUE(Q650), 0.7))</f>
        <v>0.2</v>
      </c>
      <c r="X650">
        <f>D650 - C650</f>
        <v>3</v>
      </c>
      <c r="Y650">
        <f>O650 * P650 * (1 - W650)</f>
        <v>5065.8480000000009</v>
      </c>
      <c r="Z650">
        <f>Y650 - S650</f>
        <v>1548.6180000000008</v>
      </c>
      <c r="AA650">
        <f>IFERROR(Z650 / Y650, 0)</f>
        <v>0.30569768378364304</v>
      </c>
      <c r="AB650" t="str">
        <f>TEXT(C650, "mmmm")</f>
        <v>April</v>
      </c>
      <c r="AC650">
        <f>YEAR(C650)</f>
        <v>2024</v>
      </c>
      <c r="AD650" t="str">
        <f>IF(X650&lt;0, "Invalid: Ship Date Before Order Date", IF(W650&lt;0, "Invalid: Negative Discount", IF(W650&gt;0.5, "Invalid: Exceeds Allowed Discount", "OK")))</f>
        <v>OK</v>
      </c>
    </row>
    <row r="651" spans="1:30">
      <c r="A651" t="s">
        <v>3069</v>
      </c>
      <c r="B651" t="str">
        <f t="shared" si="10"/>
        <v>Unique</v>
      </c>
      <c r="C651" s="3">
        <v>45880</v>
      </c>
      <c r="D651" s="3">
        <v>45888</v>
      </c>
      <c r="E651" t="s">
        <v>3072</v>
      </c>
      <c r="F651" t="s">
        <v>366</v>
      </c>
      <c r="G651" t="s">
        <v>41</v>
      </c>
      <c r="H651" t="s">
        <v>62</v>
      </c>
      <c r="I651" t="s">
        <v>242</v>
      </c>
      <c r="J651" t="s">
        <v>243</v>
      </c>
      <c r="K651" t="s">
        <v>86</v>
      </c>
      <c r="L651" t="s">
        <v>87</v>
      </c>
      <c r="M651" t="s">
        <v>3073</v>
      </c>
      <c r="N651" t="s">
        <v>67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34</v>
      </c>
      <c r="V651" t="s">
        <v>35</v>
      </c>
      <c r="W651">
        <f>IF(ISBLANK(Q651), 0, IFERROR(VALUE(Q651), 0.7))</f>
        <v>0.25</v>
      </c>
      <c r="X651">
        <f>D651 - C651</f>
        <v>8</v>
      </c>
      <c r="Y651">
        <f>O651 * P651 * (1 - W651)</f>
        <v>6776.88</v>
      </c>
      <c r="Z651">
        <f>Y651 - S651</f>
        <v>2940.6400000000003</v>
      </c>
      <c r="AA651">
        <f>IFERROR(Z651 / Y651, 0)</f>
        <v>0.43392239496641527</v>
      </c>
      <c r="AB651" t="str">
        <f>TEXT(C651, "mmmm")</f>
        <v>August</v>
      </c>
      <c r="AC651">
        <f>YEAR(C651)</f>
        <v>2025</v>
      </c>
      <c r="AD651" t="str">
        <f>IF(X651&lt;0, "Invalid: Ship Date Before Order Date", IF(W651&lt;0, "Invalid: Negative Discount", IF(W651&gt;0.5, "Invalid: Exceeds Allowed Discount", "OK")))</f>
        <v>OK</v>
      </c>
    </row>
    <row r="652" spans="1:30">
      <c r="A652" t="s">
        <v>3074</v>
      </c>
      <c r="B652" t="str">
        <f t="shared" si="10"/>
        <v>Unique</v>
      </c>
      <c r="C652" s="3">
        <v>45395</v>
      </c>
      <c r="D652" s="3">
        <v>45403</v>
      </c>
      <c r="E652" t="s">
        <v>547</v>
      </c>
      <c r="F652" t="s">
        <v>162</v>
      </c>
      <c r="G652" t="s">
        <v>115</v>
      </c>
      <c r="H652" t="s">
        <v>42</v>
      </c>
      <c r="I652" t="s">
        <v>186</v>
      </c>
      <c r="J652" t="s">
        <v>187</v>
      </c>
      <c r="K652" t="s">
        <v>86</v>
      </c>
      <c r="L652" t="s">
        <v>87</v>
      </c>
      <c r="M652" t="s">
        <v>3077</v>
      </c>
      <c r="N652" t="s">
        <v>48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200</v>
      </c>
      <c r="V652" t="s">
        <v>125</v>
      </c>
      <c r="W652">
        <f>IF(ISBLANK(Q652), 0, IFERROR(VALUE(Q652), 0.7))</f>
        <v>0.15</v>
      </c>
      <c r="X652">
        <f>D652 - C652</f>
        <v>8</v>
      </c>
      <c r="Y652">
        <f>O652 * P652 * (1 - W652)</f>
        <v>15760.121999999999</v>
      </c>
      <c r="Z652">
        <f>Y652 - S652</f>
        <v>5828.5919999999987</v>
      </c>
      <c r="AA652">
        <f>IFERROR(Z652 / Y652, 0)</f>
        <v>0.36983165485647884</v>
      </c>
      <c r="AB652" t="str">
        <f>TEXT(C652, "mmmm")</f>
        <v>April</v>
      </c>
      <c r="AC652">
        <f>YEAR(C652)</f>
        <v>2024</v>
      </c>
      <c r="AD652" t="str">
        <f>IF(X652&lt;0, "Invalid: Ship Date Before Order Date", IF(W652&lt;0, "Invalid: Negative Discount", IF(W652&gt;0.5, "Invalid: Exceeds Allowed Discount", "OK")))</f>
        <v>OK</v>
      </c>
    </row>
    <row r="653" spans="1:30">
      <c r="A653" t="s">
        <v>3078</v>
      </c>
      <c r="B653" t="str">
        <f t="shared" si="10"/>
        <v>Unique</v>
      </c>
      <c r="C653" s="3">
        <v>45875</v>
      </c>
      <c r="D653" s="3">
        <v>45908</v>
      </c>
      <c r="E653" t="s">
        <v>3080</v>
      </c>
      <c r="F653" t="s">
        <v>40</v>
      </c>
      <c r="G653" t="s">
        <v>41</v>
      </c>
      <c r="H653" t="s">
        <v>62</v>
      </c>
      <c r="I653" t="s">
        <v>100</v>
      </c>
      <c r="J653" t="s">
        <v>101</v>
      </c>
      <c r="K653" t="s">
        <v>30</v>
      </c>
      <c r="L653" t="s">
        <v>31</v>
      </c>
      <c r="M653" t="s">
        <v>3081</v>
      </c>
      <c r="N653" t="s">
        <v>33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34</v>
      </c>
      <c r="V653" t="s">
        <v>35</v>
      </c>
      <c r="W653">
        <f>IF(ISBLANK(Q653), 0, IFERROR(VALUE(Q653), 0.7))</f>
        <v>0</v>
      </c>
      <c r="X653">
        <f>D653 - C653</f>
        <v>33</v>
      </c>
      <c r="Y653">
        <f>O653 * P653 * (1 - W653)</f>
        <v>1795.6499999999999</v>
      </c>
      <c r="Z653">
        <f>Y653 - S653</f>
        <v>798.92999999999984</v>
      </c>
      <c r="AA653">
        <f>IFERROR(Z653 / Y653, 0)</f>
        <v>0.44492523598696843</v>
      </c>
      <c r="AB653" t="str">
        <f>TEXT(C653, "mmmm")</f>
        <v>August</v>
      </c>
      <c r="AC653">
        <f>YEAR(C653)</f>
        <v>2025</v>
      </c>
      <c r="AD653" t="str">
        <f>IF(X653&lt;0, "Invalid: Ship Date Before Order Date", IF(W653&lt;0, "Invalid: Negative Discount", IF(W653&gt;0.5, "Invalid: Exceeds Allowed Discount", "OK")))</f>
        <v>OK</v>
      </c>
    </row>
    <row r="654" spans="1:30">
      <c r="A654" t="s">
        <v>3082</v>
      </c>
      <c r="B654" t="str">
        <f t="shared" si="10"/>
        <v>Unique</v>
      </c>
      <c r="C654" s="3">
        <v>45733</v>
      </c>
      <c r="D654" s="3">
        <v>45737</v>
      </c>
      <c r="E654" t="s">
        <v>2567</v>
      </c>
      <c r="F654" t="s">
        <v>168</v>
      </c>
      <c r="G654" t="s">
        <v>26</v>
      </c>
      <c r="H654" t="s">
        <v>27</v>
      </c>
      <c r="I654" t="s">
        <v>174</v>
      </c>
      <c r="J654" t="s">
        <v>175</v>
      </c>
      <c r="K654" t="s">
        <v>30</v>
      </c>
      <c r="L654" t="s">
        <v>198</v>
      </c>
      <c r="M654" t="s">
        <v>3085</v>
      </c>
      <c r="N654" t="s">
        <v>67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34</v>
      </c>
      <c r="V654" t="s">
        <v>35</v>
      </c>
      <c r="W654">
        <f>IF(ISBLANK(Q654), 0, IFERROR(VALUE(Q654), 0.7))</f>
        <v>0.15</v>
      </c>
      <c r="X654">
        <f>D654 - C654</f>
        <v>4</v>
      </c>
      <c r="Y654">
        <f>O654 * P654 * (1 - W654)</f>
        <v>18362.5075</v>
      </c>
      <c r="Z654">
        <f>Y654 - S654</f>
        <v>7228.5375000000004</v>
      </c>
      <c r="AA654">
        <f>IFERROR(Z654 / Y654, 0)</f>
        <v>0.39365742941153326</v>
      </c>
      <c r="AB654" t="str">
        <f>TEXT(C654, "mmmm")</f>
        <v>March</v>
      </c>
      <c r="AC654">
        <f>YEAR(C654)</f>
        <v>2025</v>
      </c>
      <c r="AD654" t="str">
        <f>IF(X654&lt;0, "Invalid: Ship Date Before Order Date", IF(W654&lt;0, "Invalid: Negative Discount", IF(W654&gt;0.5, "Invalid: Exceeds Allowed Discount", "OK")))</f>
        <v>OK</v>
      </c>
    </row>
    <row r="655" spans="1:30">
      <c r="A655" t="s">
        <v>3086</v>
      </c>
      <c r="B655" t="str">
        <f t="shared" si="10"/>
        <v>Unique</v>
      </c>
      <c r="C655" s="3">
        <v>45751</v>
      </c>
      <c r="D655" s="3">
        <v>45754</v>
      </c>
      <c r="E655" t="s">
        <v>3089</v>
      </c>
      <c r="F655" t="s">
        <v>142</v>
      </c>
      <c r="G655" t="s">
        <v>41</v>
      </c>
      <c r="H655" t="s">
        <v>62</v>
      </c>
      <c r="I655" t="s">
        <v>339</v>
      </c>
      <c r="J655" t="s">
        <v>340</v>
      </c>
      <c r="K655" t="s">
        <v>86</v>
      </c>
      <c r="L655" t="s">
        <v>94</v>
      </c>
      <c r="M655" t="s">
        <v>3090</v>
      </c>
      <c r="N655" t="s">
        <v>33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34</v>
      </c>
      <c r="V655" t="s">
        <v>35</v>
      </c>
      <c r="W655">
        <f>IF(ISBLANK(Q655), 0, IFERROR(VALUE(Q655), 0.7))</f>
        <v>0.15</v>
      </c>
      <c r="X655">
        <f>D655 - C655</f>
        <v>3</v>
      </c>
      <c r="Y655">
        <f>O655 * P655 * (1 - W655)</f>
        <v>26524.683500000003</v>
      </c>
      <c r="Z655">
        <f>Y655 - S655</f>
        <v>5950.3835000000036</v>
      </c>
      <c r="AA655">
        <f>IFERROR(Z655 / Y655, 0)</f>
        <v>0.22433381721595294</v>
      </c>
      <c r="AB655" t="str">
        <f>TEXT(C655, "mmmm")</f>
        <v>April</v>
      </c>
      <c r="AC655">
        <f>YEAR(C655)</f>
        <v>2025</v>
      </c>
      <c r="AD655" t="str">
        <f>IF(X655&lt;0, "Invalid: Ship Date Before Order Date", IF(W655&lt;0, "Invalid: Negative Discount", IF(W655&gt;0.5, "Invalid: Exceeds Allowed Discount", "OK")))</f>
        <v>OK</v>
      </c>
    </row>
    <row r="656" spans="1:30">
      <c r="A656" t="s">
        <v>3091</v>
      </c>
      <c r="B656" t="str">
        <f t="shared" si="10"/>
        <v>Unique</v>
      </c>
      <c r="C656" s="3">
        <v>45942</v>
      </c>
      <c r="D656" s="3">
        <v>45946</v>
      </c>
      <c r="E656" t="s">
        <v>1416</v>
      </c>
      <c r="F656" t="s">
        <v>210</v>
      </c>
      <c r="G656" t="s">
        <v>108</v>
      </c>
      <c r="H656" t="s">
        <v>42</v>
      </c>
      <c r="I656" t="s">
        <v>186</v>
      </c>
      <c r="J656" t="s">
        <v>187</v>
      </c>
      <c r="K656" t="s">
        <v>86</v>
      </c>
      <c r="L656" t="s">
        <v>382</v>
      </c>
      <c r="M656" t="s">
        <v>3093</v>
      </c>
      <c r="N656" t="s">
        <v>48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34</v>
      </c>
      <c r="V656" t="s">
        <v>35</v>
      </c>
      <c r="W656">
        <f>IF(ISBLANK(Q656), 0, IFERROR(VALUE(Q656), 0.7))</f>
        <v>0.2</v>
      </c>
      <c r="X656">
        <f>D656 - C656</f>
        <v>4</v>
      </c>
      <c r="Y656">
        <f>O656 * P656 * (1 - W656)</f>
        <v>2056.0480000000002</v>
      </c>
      <c r="Z656">
        <f>Y656 - S656</f>
        <v>393.65800000000013</v>
      </c>
      <c r="AA656">
        <f>IFERROR(Z656 / Y656, 0)</f>
        <v>0.19146342886936496</v>
      </c>
      <c r="AB656" t="str">
        <f>TEXT(C656, "mmmm")</f>
        <v>October</v>
      </c>
      <c r="AC656">
        <f>YEAR(C656)</f>
        <v>2025</v>
      </c>
      <c r="AD656" t="str">
        <f>IF(X656&lt;0, "Invalid: Ship Date Before Order Date", IF(W656&lt;0, "Invalid: Negative Discount", IF(W656&gt;0.5, "Invalid: Exceeds Allowed Discount", "OK")))</f>
        <v>OK</v>
      </c>
    </row>
    <row r="657" spans="1:30">
      <c r="A657" t="s">
        <v>3094</v>
      </c>
      <c r="B657" t="str">
        <f t="shared" si="10"/>
        <v>Unique</v>
      </c>
      <c r="C657" s="3">
        <v>45895</v>
      </c>
      <c r="D657" s="3">
        <v>45895</v>
      </c>
      <c r="E657" t="s">
        <v>3095</v>
      </c>
      <c r="F657" t="s">
        <v>93</v>
      </c>
      <c r="G657" t="s">
        <v>115</v>
      </c>
      <c r="H657" t="s">
        <v>42</v>
      </c>
      <c r="I657" t="s">
        <v>121</v>
      </c>
      <c r="J657" t="s">
        <v>122</v>
      </c>
      <c r="K657" t="s">
        <v>45</v>
      </c>
      <c r="L657" t="s">
        <v>65</v>
      </c>
      <c r="M657" t="s">
        <v>3096</v>
      </c>
      <c r="N657" t="s">
        <v>67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34</v>
      </c>
      <c r="V657" t="s">
        <v>35</v>
      </c>
      <c r="W657">
        <f>IF(ISBLANK(Q657), 0, IFERROR(VALUE(Q657), 0.7))</f>
        <v>0</v>
      </c>
      <c r="X657">
        <f>D657 - C657</f>
        <v>0</v>
      </c>
      <c r="Y657">
        <f>O657 * P657 * (1 - W657)</f>
        <v>8607.2800000000007</v>
      </c>
      <c r="Z657">
        <f>Y657 - S657</f>
        <v>3483.2700000000004</v>
      </c>
      <c r="AA657">
        <f>IFERROR(Z657 / Y657, 0)</f>
        <v>0.40468882155570635</v>
      </c>
      <c r="AB657" t="str">
        <f>TEXT(C657, "mmmm")</f>
        <v>August</v>
      </c>
      <c r="AC657">
        <f>YEAR(C657)</f>
        <v>2025</v>
      </c>
      <c r="AD657" t="str">
        <f>IF(X657&lt;0, "Invalid: Ship Date Before Order Date", IF(W657&lt;0, "Invalid: Negative Discount", IF(W657&gt;0.5, "Invalid: Exceeds Allowed Discount", "OK")))</f>
        <v>OK</v>
      </c>
    </row>
    <row r="658" spans="1:30">
      <c r="A658" t="s">
        <v>3097</v>
      </c>
      <c r="B658" t="str">
        <f t="shared" si="10"/>
        <v>Unique</v>
      </c>
      <c r="C658" s="3">
        <v>45478</v>
      </c>
      <c r="D658" s="3">
        <v>45426</v>
      </c>
      <c r="E658" t="s">
        <v>3099</v>
      </c>
      <c r="F658" t="s">
        <v>93</v>
      </c>
      <c r="G658" t="s">
        <v>41</v>
      </c>
      <c r="H658" t="s">
        <v>27</v>
      </c>
      <c r="I658" t="s">
        <v>323</v>
      </c>
      <c r="J658" t="s">
        <v>324</v>
      </c>
      <c r="K658" t="s">
        <v>86</v>
      </c>
      <c r="L658" t="s">
        <v>382</v>
      </c>
      <c r="M658" t="s">
        <v>3100</v>
      </c>
      <c r="N658" t="s">
        <v>48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34</v>
      </c>
      <c r="V658" t="s">
        <v>35</v>
      </c>
      <c r="W658">
        <f>IF(ISBLANK(Q658), 0, IFERROR(VALUE(Q658), 0.7))</f>
        <v>-0.05</v>
      </c>
      <c r="X658">
        <f>D658 - C658</f>
        <v>-52</v>
      </c>
      <c r="Y658">
        <f>O658 * P658 * (1 - W658)</f>
        <v>11554.62</v>
      </c>
      <c r="Z658">
        <f>Y658 - S658</f>
        <v>3858.3400000000011</v>
      </c>
      <c r="AA658">
        <f>IFERROR(Z658 / Y658, 0)</f>
        <v>0.33392184251840396</v>
      </c>
      <c r="AB658" t="str">
        <f>TEXT(C658, "mmmm")</f>
        <v>July</v>
      </c>
      <c r="AC658">
        <f>YEAR(C658)</f>
        <v>2024</v>
      </c>
      <c r="AD658" t="str">
        <f>IF(X658&lt;0, "Invalid: Ship Date Before Order Date", IF(W658&lt;0, "Invalid: Negative Discount", IF(W658&gt;0.5, "Invalid: Exceeds Allowed Discount", "OK")))</f>
        <v>Invalid: Ship Date Before Order Date</v>
      </c>
    </row>
    <row r="659" spans="1:30">
      <c r="A659" t="s">
        <v>3101</v>
      </c>
      <c r="B659" t="str">
        <f t="shared" si="10"/>
        <v>Unique</v>
      </c>
      <c r="C659" s="3">
        <v>45876</v>
      </c>
      <c r="D659" s="3">
        <v>45879</v>
      </c>
      <c r="E659" t="s">
        <v>3104</v>
      </c>
      <c r="F659" t="s">
        <v>107</v>
      </c>
      <c r="G659" t="s">
        <v>115</v>
      </c>
      <c r="H659" t="s">
        <v>42</v>
      </c>
      <c r="I659" t="s">
        <v>186</v>
      </c>
      <c r="J659" t="s">
        <v>187</v>
      </c>
      <c r="K659" t="s">
        <v>30</v>
      </c>
      <c r="L659" t="s">
        <v>156</v>
      </c>
      <c r="M659" t="s">
        <v>3105</v>
      </c>
      <c r="N659" t="s">
        <v>33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34</v>
      </c>
      <c r="V659" t="s">
        <v>35</v>
      </c>
      <c r="W659">
        <f>IF(ISBLANK(Q659), 0, IFERROR(VALUE(Q659), 0.7))</f>
        <v>0.2</v>
      </c>
      <c r="X659">
        <f>D659 - C659</f>
        <v>3</v>
      </c>
      <c r="Y659">
        <f>O659 * P659 * (1 - W659)</f>
        <v>2033</v>
      </c>
      <c r="Z659">
        <f>Y659 - S659</f>
        <v>741.58999999999992</v>
      </c>
      <c r="AA659">
        <f>IFERROR(Z659 / Y659, 0)</f>
        <v>0.36477619281849477</v>
      </c>
      <c r="AB659" t="str">
        <f>TEXT(C659, "mmmm")</f>
        <v>August</v>
      </c>
      <c r="AC659">
        <f>YEAR(C659)</f>
        <v>2025</v>
      </c>
      <c r="AD659" t="str">
        <f>IF(X659&lt;0, "Invalid: Ship Date Before Order Date", IF(W659&lt;0, "Invalid: Negative Discount", IF(W659&gt;0.5, "Invalid: Exceeds Allowed Discount", "OK")))</f>
        <v>OK</v>
      </c>
    </row>
    <row r="660" spans="1:30">
      <c r="A660" t="s">
        <v>3106</v>
      </c>
      <c r="B660" t="str">
        <f t="shared" si="10"/>
        <v>Unique</v>
      </c>
      <c r="C660" s="3">
        <v>45817</v>
      </c>
      <c r="D660" s="3">
        <v>45820</v>
      </c>
      <c r="E660" t="s">
        <v>3108</v>
      </c>
      <c r="F660" t="s">
        <v>168</v>
      </c>
      <c r="G660" t="s">
        <v>26</v>
      </c>
      <c r="H660" t="s">
        <v>4110</v>
      </c>
      <c r="I660" t="s">
        <v>186</v>
      </c>
      <c r="J660" t="s">
        <v>187</v>
      </c>
      <c r="K660" t="s">
        <v>30</v>
      </c>
      <c r="L660" t="s">
        <v>54</v>
      </c>
      <c r="M660" t="s">
        <v>3109</v>
      </c>
      <c r="N660" t="s">
        <v>56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124</v>
      </c>
      <c r="V660" t="s">
        <v>78</v>
      </c>
      <c r="W660">
        <f>IF(ISBLANK(Q660), 0, IFERROR(VALUE(Q660), 0.7))</f>
        <v>0</v>
      </c>
      <c r="X660">
        <f>D660 - C660</f>
        <v>3</v>
      </c>
      <c r="Y660">
        <f>O660 * P660 * (1 - W660)</f>
        <v>19966.940000000002</v>
      </c>
      <c r="Z660">
        <f>Y660 - S660</f>
        <v>7276.1100000000024</v>
      </c>
      <c r="AA660">
        <f>IFERROR(Z660 / Y660, 0)</f>
        <v>0.36440786620283339</v>
      </c>
      <c r="AB660" t="str">
        <f>TEXT(C660, "mmmm")</f>
        <v>June</v>
      </c>
      <c r="AC660">
        <f>YEAR(C660)</f>
        <v>2025</v>
      </c>
      <c r="AD660" t="str">
        <f>IF(X660&lt;0, "Invalid: Ship Date Before Order Date", IF(W660&lt;0, "Invalid: Negative Discount", IF(W660&gt;0.5, "Invalid: Exceeds Allowed Discount", "OK")))</f>
        <v>OK</v>
      </c>
    </row>
    <row r="661" spans="1:30">
      <c r="A661" t="s">
        <v>3110</v>
      </c>
      <c r="B661" t="str">
        <f t="shared" si="10"/>
        <v>Unique</v>
      </c>
      <c r="C661" s="3">
        <v>45678</v>
      </c>
      <c r="D661" s="3">
        <v>45679</v>
      </c>
      <c r="E661" t="s">
        <v>3111</v>
      </c>
      <c r="F661" t="s">
        <v>210</v>
      </c>
      <c r="G661" t="s">
        <v>108</v>
      </c>
      <c r="H661" t="s">
        <v>62</v>
      </c>
      <c r="I661" t="s">
        <v>229</v>
      </c>
      <c r="J661" t="s">
        <v>230</v>
      </c>
      <c r="K661" t="s">
        <v>86</v>
      </c>
      <c r="L661" t="s">
        <v>223</v>
      </c>
      <c r="M661" t="s">
        <v>3112</v>
      </c>
      <c r="N661" t="s">
        <v>33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124</v>
      </c>
      <c r="V661" t="s">
        <v>78</v>
      </c>
      <c r="W661">
        <f>IF(ISBLANK(Q661), 0, IFERROR(VALUE(Q661), 0.7))</f>
        <v>0.2</v>
      </c>
      <c r="X661">
        <f>D661 - C661</f>
        <v>1</v>
      </c>
      <c r="Y661">
        <f>O661 * P661 * (1 - W661)</f>
        <v>710.89600000000007</v>
      </c>
      <c r="Z661">
        <f>Y661 - S661</f>
        <v>197.01600000000008</v>
      </c>
      <c r="AA661">
        <f>IFERROR(Z661 / Y661, 0)</f>
        <v>0.27713758411919615</v>
      </c>
      <c r="AB661" t="str">
        <f>TEXT(C661, "mmmm")</f>
        <v>January</v>
      </c>
      <c r="AC661">
        <f>YEAR(C661)</f>
        <v>2025</v>
      </c>
      <c r="AD661" t="str">
        <f>IF(X661&lt;0, "Invalid: Ship Date Before Order Date", IF(W661&lt;0, "Invalid: Negative Discount", IF(W661&gt;0.5, "Invalid: Exceeds Allowed Discount", "OK")))</f>
        <v>OK</v>
      </c>
    </row>
    <row r="662" spans="1:30">
      <c r="A662" t="s">
        <v>3113</v>
      </c>
      <c r="B662" t="str">
        <f t="shared" si="10"/>
        <v>Unique</v>
      </c>
      <c r="C662" s="3">
        <v>45853</v>
      </c>
      <c r="D662" s="3">
        <v>45853</v>
      </c>
      <c r="E662" t="s">
        <v>3115</v>
      </c>
      <c r="F662" t="s">
        <v>61</v>
      </c>
      <c r="G662" t="s">
        <v>41</v>
      </c>
      <c r="H662" t="s">
        <v>42</v>
      </c>
      <c r="I662" t="s">
        <v>311</v>
      </c>
      <c r="J662" t="s">
        <v>312</v>
      </c>
      <c r="K662" t="s">
        <v>86</v>
      </c>
      <c r="L662" t="s">
        <v>223</v>
      </c>
      <c r="M662" t="s">
        <v>3116</v>
      </c>
      <c r="N662" t="s">
        <v>48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34</v>
      </c>
      <c r="V662" t="s">
        <v>35</v>
      </c>
      <c r="W662">
        <f>IF(ISBLANK(Q662), 0, IFERROR(VALUE(Q662), 0.7))</f>
        <v>0.1</v>
      </c>
      <c r="X662">
        <f>D662 - C662</f>
        <v>0</v>
      </c>
      <c r="Y662">
        <f>O662 * P662 * (1 - W662)</f>
        <v>15994.476000000001</v>
      </c>
      <c r="Z662">
        <f>Y662 - S662</f>
        <v>6770.1959999999999</v>
      </c>
      <c r="AA662">
        <f>IFERROR(Z662 / Y662, 0)</f>
        <v>0.42328338858991066</v>
      </c>
      <c r="AB662" t="str">
        <f>TEXT(C662, "mmmm")</f>
        <v>July</v>
      </c>
      <c r="AC662">
        <f>YEAR(C662)</f>
        <v>2025</v>
      </c>
      <c r="AD662" t="str">
        <f>IF(X662&lt;0, "Invalid: Ship Date Before Order Date", IF(W662&lt;0, "Invalid: Negative Discount", IF(W662&gt;0.5, "Invalid: Exceeds Allowed Discount", "OK")))</f>
        <v>OK</v>
      </c>
    </row>
    <row r="663" spans="1:30">
      <c r="A663" t="s">
        <v>3117</v>
      </c>
      <c r="B663" t="str">
        <f t="shared" si="10"/>
        <v>Unique</v>
      </c>
      <c r="C663" s="3">
        <v>45429</v>
      </c>
      <c r="D663" s="3">
        <v>45434</v>
      </c>
      <c r="E663" t="s">
        <v>3120</v>
      </c>
      <c r="F663" t="s">
        <v>168</v>
      </c>
      <c r="G663" t="s">
        <v>26</v>
      </c>
      <c r="H663" t="s">
        <v>62</v>
      </c>
      <c r="I663" t="s">
        <v>100</v>
      </c>
      <c r="J663" t="s">
        <v>101</v>
      </c>
      <c r="K663" t="s">
        <v>86</v>
      </c>
      <c r="L663" t="s">
        <v>382</v>
      </c>
      <c r="M663" t="s">
        <v>3121</v>
      </c>
      <c r="N663" t="s">
        <v>33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34</v>
      </c>
      <c r="V663" t="s">
        <v>35</v>
      </c>
      <c r="W663">
        <f>IF(ISBLANK(Q663), 0, IFERROR(VALUE(Q663), 0.7))</f>
        <v>0</v>
      </c>
      <c r="X663">
        <f>D663 - C663</f>
        <v>5</v>
      </c>
      <c r="Y663">
        <f>O663 * P663 * (1 - W663)</f>
        <v>1627.5</v>
      </c>
      <c r="Z663">
        <f>Y663 - S663</f>
        <v>687.6</v>
      </c>
      <c r="AA663">
        <f>IFERROR(Z663 / Y663, 0)</f>
        <v>0.4224884792626728</v>
      </c>
      <c r="AB663" t="str">
        <f>TEXT(C663, "mmmm")</f>
        <v>May</v>
      </c>
      <c r="AC663">
        <f>YEAR(C663)</f>
        <v>2024</v>
      </c>
      <c r="AD663" t="str">
        <f>IF(X663&lt;0, "Invalid: Ship Date Before Order Date", IF(W663&lt;0, "Invalid: Negative Discount", IF(W663&gt;0.5, "Invalid: Exceeds Allowed Discount", "OK")))</f>
        <v>OK</v>
      </c>
    </row>
    <row r="664" spans="1:30">
      <c r="A664" t="s">
        <v>3122</v>
      </c>
      <c r="B664" t="str">
        <f t="shared" si="10"/>
        <v>Unique</v>
      </c>
      <c r="C664" s="3">
        <v>45305</v>
      </c>
      <c r="D664" s="3">
        <v>45309</v>
      </c>
      <c r="E664" t="s">
        <v>3125</v>
      </c>
      <c r="F664" t="s">
        <v>40</v>
      </c>
      <c r="G664" t="s">
        <v>115</v>
      </c>
      <c r="H664" t="s">
        <v>73</v>
      </c>
      <c r="I664" t="s">
        <v>28</v>
      </c>
      <c r="J664" t="s">
        <v>135</v>
      </c>
      <c r="K664" t="s">
        <v>86</v>
      </c>
      <c r="L664" t="s">
        <v>382</v>
      </c>
      <c r="M664" t="s">
        <v>3126</v>
      </c>
      <c r="N664" t="s">
        <v>48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34</v>
      </c>
      <c r="V664" t="s">
        <v>35</v>
      </c>
      <c r="W664">
        <f>IF(ISBLANK(Q664), 0, IFERROR(VALUE(Q664), 0.7))</f>
        <v>0.1</v>
      </c>
      <c r="X664">
        <f>D664 - C664</f>
        <v>4</v>
      </c>
      <c r="Y664">
        <f>O664 * P664 * (1 - W664)</f>
        <v>9637.92</v>
      </c>
      <c r="Z664">
        <f>Y664 - S664</f>
        <v>2308.63</v>
      </c>
      <c r="AA664">
        <f>IFERROR(Z664 / Y664, 0)</f>
        <v>0.2395361239769577</v>
      </c>
      <c r="AB664" t="str">
        <f>TEXT(C664, "mmmm")</f>
        <v>January</v>
      </c>
      <c r="AC664">
        <f>YEAR(C664)</f>
        <v>2024</v>
      </c>
      <c r="AD664" t="str">
        <f>IF(X664&lt;0, "Invalid: Ship Date Before Order Date", IF(W664&lt;0, "Invalid: Negative Discount", IF(W664&gt;0.5, "Invalid: Exceeds Allowed Discount", "OK")))</f>
        <v>OK</v>
      </c>
    </row>
    <row r="665" spans="1:30">
      <c r="A665" t="s">
        <v>3127</v>
      </c>
      <c r="B665" t="str">
        <f t="shared" si="10"/>
        <v>Unique</v>
      </c>
      <c r="C665" s="3">
        <v>45414</v>
      </c>
      <c r="D665" s="3">
        <v>45420</v>
      </c>
      <c r="E665" t="s">
        <v>3128</v>
      </c>
      <c r="F665" t="s">
        <v>148</v>
      </c>
      <c r="G665" t="s">
        <v>115</v>
      </c>
      <c r="H665" t="s">
        <v>42</v>
      </c>
      <c r="I665" t="s">
        <v>311</v>
      </c>
      <c r="J665" t="s">
        <v>312</v>
      </c>
      <c r="K665" t="s">
        <v>86</v>
      </c>
      <c r="L665" t="s">
        <v>94</v>
      </c>
      <c r="M665" t="s">
        <v>3129</v>
      </c>
      <c r="N665" t="s">
        <v>33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34</v>
      </c>
      <c r="V665" t="s">
        <v>35</v>
      </c>
      <c r="W665">
        <f>IF(ISBLANK(Q665), 0, IFERROR(VALUE(Q665), 0.7))</f>
        <v>-0.24</v>
      </c>
      <c r="X665">
        <f>D665 - C665</f>
        <v>6</v>
      </c>
      <c r="Y665">
        <f>O665 * P665 * (1 - W665)</f>
        <v>7898.8248000000003</v>
      </c>
      <c r="Z665">
        <f>Y665 - S665</f>
        <v>4745.8448000000008</v>
      </c>
      <c r="AA665">
        <f>IFERROR(Z665 / Y665, 0)</f>
        <v>0.60082922715287979</v>
      </c>
      <c r="AB665" t="str">
        <f>TEXT(C665, "mmmm")</f>
        <v>May</v>
      </c>
      <c r="AC665">
        <f>YEAR(C665)</f>
        <v>2024</v>
      </c>
      <c r="AD665" t="str">
        <f>IF(X665&lt;0, "Invalid: Ship Date Before Order Date", IF(W665&lt;0, "Invalid: Negative Discount", IF(W665&gt;0.5, "Invalid: Exceeds Allowed Discount", "OK")))</f>
        <v>Invalid: Negative Discount</v>
      </c>
    </row>
    <row r="666" spans="1:30">
      <c r="A666" t="s">
        <v>3130</v>
      </c>
      <c r="B666" t="str">
        <f t="shared" si="10"/>
        <v>Unique</v>
      </c>
      <c r="C666" s="3">
        <v>45633</v>
      </c>
      <c r="D666" s="3">
        <v>45636</v>
      </c>
      <c r="E666" t="s">
        <v>3133</v>
      </c>
      <c r="F666" t="s">
        <v>40</v>
      </c>
      <c r="G666" t="s">
        <v>115</v>
      </c>
      <c r="H666" t="s">
        <v>62</v>
      </c>
      <c r="I666" t="s">
        <v>63</v>
      </c>
      <c r="J666" t="s">
        <v>64</v>
      </c>
      <c r="K666" t="s">
        <v>86</v>
      </c>
      <c r="L666" t="s">
        <v>87</v>
      </c>
      <c r="M666" t="s">
        <v>3134</v>
      </c>
      <c r="N666" t="s">
        <v>67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34</v>
      </c>
      <c r="V666" t="s">
        <v>35</v>
      </c>
      <c r="W666">
        <f>IF(ISBLANK(Q666), 0, IFERROR(VALUE(Q666), 0.7))</f>
        <v>0.2</v>
      </c>
      <c r="X666">
        <f>D666 - C666</f>
        <v>3</v>
      </c>
      <c r="Y666">
        <f>O666 * P666 * (1 - W666)</f>
        <v>1527.0640000000001</v>
      </c>
      <c r="Z666">
        <f>Y666 - S666</f>
        <v>471.17399999999998</v>
      </c>
      <c r="AA666">
        <f>IFERROR(Z666 / Y666, 0)</f>
        <v>0.30854895407134209</v>
      </c>
      <c r="AB666" t="str">
        <f>TEXT(C666, "mmmm")</f>
        <v>December</v>
      </c>
      <c r="AC666">
        <f>YEAR(C666)</f>
        <v>2024</v>
      </c>
      <c r="AD666" t="str">
        <f>IF(X666&lt;0, "Invalid: Ship Date Before Order Date", IF(W666&lt;0, "Invalid: Negative Discount", IF(W666&gt;0.5, "Invalid: Exceeds Allowed Discount", "OK")))</f>
        <v>OK</v>
      </c>
    </row>
    <row r="667" spans="1:30">
      <c r="A667" t="s">
        <v>3135</v>
      </c>
      <c r="B667" t="str">
        <f t="shared" si="10"/>
        <v>Unique</v>
      </c>
      <c r="C667" s="3">
        <v>45670</v>
      </c>
      <c r="D667" s="3">
        <v>45670</v>
      </c>
      <c r="E667" t="s">
        <v>3138</v>
      </c>
      <c r="F667" t="s">
        <v>148</v>
      </c>
      <c r="G667" t="s">
        <v>115</v>
      </c>
      <c r="H667" t="s">
        <v>73</v>
      </c>
      <c r="I667" t="s">
        <v>235</v>
      </c>
      <c r="J667" t="s">
        <v>236</v>
      </c>
      <c r="K667" t="s">
        <v>30</v>
      </c>
      <c r="L667" t="s">
        <v>54</v>
      </c>
      <c r="M667" t="s">
        <v>3139</v>
      </c>
      <c r="N667" t="s">
        <v>67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200</v>
      </c>
      <c r="V667" t="s">
        <v>78</v>
      </c>
      <c r="W667">
        <f>IF(ISBLANK(Q667), 0, IFERROR(VALUE(Q667), 0.7))</f>
        <v>0.1</v>
      </c>
      <c r="X667">
        <f>D667 - C667</f>
        <v>0</v>
      </c>
      <c r="Y667">
        <f>O667 * P667 * (1 - W667)</f>
        <v>5698.4039999999995</v>
      </c>
      <c r="Z667">
        <f>Y667 - S667</f>
        <v>2057.5139999999997</v>
      </c>
      <c r="AA667">
        <f>IFERROR(Z667 / Y667, 0)</f>
        <v>0.36106846759197836</v>
      </c>
      <c r="AB667" t="str">
        <f>TEXT(C667, "mmmm")</f>
        <v>January</v>
      </c>
      <c r="AC667">
        <f>YEAR(C667)</f>
        <v>2025</v>
      </c>
      <c r="AD667" t="str">
        <f>IF(X667&lt;0, "Invalid: Ship Date Before Order Date", IF(W667&lt;0, "Invalid: Negative Discount", IF(W667&gt;0.5, "Invalid: Exceeds Allowed Discount", "OK")))</f>
        <v>OK</v>
      </c>
    </row>
    <row r="668" spans="1:30">
      <c r="A668" t="s">
        <v>3140</v>
      </c>
      <c r="B668" t="str">
        <f t="shared" si="10"/>
        <v>Unique</v>
      </c>
      <c r="C668" s="3">
        <v>45464</v>
      </c>
      <c r="D668" s="3">
        <v>45469</v>
      </c>
      <c r="E668" t="s">
        <v>3141</v>
      </c>
      <c r="F668" t="s">
        <v>180</v>
      </c>
      <c r="G668" t="s">
        <v>41</v>
      </c>
      <c r="H668" t="s">
        <v>27</v>
      </c>
      <c r="I668" t="s">
        <v>154</v>
      </c>
      <c r="J668" t="s">
        <v>155</v>
      </c>
      <c r="K668" t="s">
        <v>86</v>
      </c>
      <c r="L668" t="s">
        <v>94</v>
      </c>
      <c r="M668" t="s">
        <v>3142</v>
      </c>
      <c r="N668" t="s">
        <v>48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34</v>
      </c>
      <c r="V668" t="s">
        <v>35</v>
      </c>
      <c r="W668">
        <f>IF(ISBLANK(Q668), 0, IFERROR(VALUE(Q668), 0.7))</f>
        <v>0.05</v>
      </c>
      <c r="X668">
        <f>D668 - C668</f>
        <v>5</v>
      </c>
      <c r="Y668">
        <f>O668 * P668 * (1 - W668)</f>
        <v>265.83849999999995</v>
      </c>
      <c r="Z668">
        <f>Y668 - S668</f>
        <v>42.348499999999945</v>
      </c>
      <c r="AA668">
        <f>IFERROR(Z668 / Y668, 0)</f>
        <v>0.15930160605028976</v>
      </c>
      <c r="AB668" t="str">
        <f>TEXT(C668, "mmmm")</f>
        <v>June</v>
      </c>
      <c r="AC668">
        <f>YEAR(C668)</f>
        <v>2024</v>
      </c>
      <c r="AD668" t="str">
        <f>IF(X668&lt;0, "Invalid: Ship Date Before Order Date", IF(W668&lt;0, "Invalid: Negative Discount", IF(W668&gt;0.5, "Invalid: Exceeds Allowed Discount", "OK")))</f>
        <v>OK</v>
      </c>
    </row>
    <row r="669" spans="1:30">
      <c r="A669" t="s">
        <v>3143</v>
      </c>
      <c r="B669" t="str">
        <f t="shared" si="10"/>
        <v>Unique</v>
      </c>
      <c r="C669" s="3">
        <v>45797</v>
      </c>
      <c r="D669" s="3">
        <v>45804</v>
      </c>
      <c r="E669" t="s">
        <v>3146</v>
      </c>
      <c r="F669" t="s">
        <v>210</v>
      </c>
      <c r="G669" t="s">
        <v>41</v>
      </c>
      <c r="H669" t="s">
        <v>42</v>
      </c>
      <c r="I669" t="s">
        <v>186</v>
      </c>
      <c r="J669" t="s">
        <v>187</v>
      </c>
      <c r="K669" t="s">
        <v>86</v>
      </c>
      <c r="L669" t="s">
        <v>382</v>
      </c>
      <c r="M669" t="s">
        <v>3147</v>
      </c>
      <c r="N669" t="s">
        <v>67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137</v>
      </c>
      <c r="V669" t="s">
        <v>125</v>
      </c>
      <c r="W669">
        <f>IF(ISBLANK(Q669), 0, IFERROR(VALUE(Q669), 0.7))</f>
        <v>0</v>
      </c>
      <c r="X669">
        <f>D669 - C669</f>
        <v>7</v>
      </c>
      <c r="Y669">
        <f>O669 * P669 * (1 - W669)</f>
        <v>3959.14</v>
      </c>
      <c r="Z669">
        <f>Y669 - S669</f>
        <v>719.60999999999967</v>
      </c>
      <c r="AA669">
        <f>IFERROR(Z669 / Y669, 0)</f>
        <v>0.18175916992074029</v>
      </c>
      <c r="AB669" t="str">
        <f>TEXT(C669, "mmmm")</f>
        <v>May</v>
      </c>
      <c r="AC669">
        <f>YEAR(C669)</f>
        <v>2025</v>
      </c>
      <c r="AD669" t="str">
        <f>IF(X669&lt;0, "Invalid: Ship Date Before Order Date", IF(W669&lt;0, "Invalid: Negative Discount", IF(W669&gt;0.5, "Invalid: Exceeds Allowed Discount", "OK")))</f>
        <v>OK</v>
      </c>
    </row>
    <row r="670" spans="1:30">
      <c r="A670" t="s">
        <v>3148</v>
      </c>
      <c r="B670" t="str">
        <f t="shared" si="10"/>
        <v>Unique</v>
      </c>
      <c r="C670" s="3">
        <v>45617</v>
      </c>
      <c r="D670" s="3">
        <v>45619</v>
      </c>
      <c r="E670" t="s">
        <v>3150</v>
      </c>
      <c r="F670" t="s">
        <v>40</v>
      </c>
      <c r="G670" t="s">
        <v>108</v>
      </c>
      <c r="H670" t="s">
        <v>73</v>
      </c>
      <c r="I670" t="s">
        <v>235</v>
      </c>
      <c r="J670" t="s">
        <v>236</v>
      </c>
      <c r="K670" t="s">
        <v>30</v>
      </c>
      <c r="L670" t="s">
        <v>31</v>
      </c>
      <c r="M670" t="s">
        <v>3151</v>
      </c>
      <c r="N670" t="s">
        <v>33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34</v>
      </c>
      <c r="V670" t="s">
        <v>35</v>
      </c>
      <c r="W670">
        <f>IF(ISBLANK(Q670), 0, IFERROR(VALUE(Q670), 0.7))</f>
        <v>0.2</v>
      </c>
      <c r="X670">
        <f>D670 - C670</f>
        <v>2</v>
      </c>
      <c r="Y670">
        <f>O670 * P670 * (1 - W670)</f>
        <v>2401.84</v>
      </c>
      <c r="Z670">
        <f>Y670 - S670</f>
        <v>528.73000000000025</v>
      </c>
      <c r="AA670">
        <f>IFERROR(Z670 / Y670, 0)</f>
        <v>0.22013539619624964</v>
      </c>
      <c r="AB670" t="str">
        <f>TEXT(C670, "mmmm")</f>
        <v>November</v>
      </c>
      <c r="AC670">
        <f>YEAR(C670)</f>
        <v>2024</v>
      </c>
      <c r="AD670" t="str">
        <f>IF(X670&lt;0, "Invalid: Ship Date Before Order Date", IF(W670&lt;0, "Invalid: Negative Discount", IF(W670&gt;0.5, "Invalid: Exceeds Allowed Discount", "OK")))</f>
        <v>OK</v>
      </c>
    </row>
    <row r="671" spans="1:30">
      <c r="A671" t="s">
        <v>3152</v>
      </c>
      <c r="B671" t="str">
        <f t="shared" si="10"/>
        <v>Unique</v>
      </c>
      <c r="C671" s="3">
        <v>45375</v>
      </c>
      <c r="D671" s="3">
        <v>45383</v>
      </c>
      <c r="E671" t="s">
        <v>3155</v>
      </c>
      <c r="F671" t="s">
        <v>72</v>
      </c>
      <c r="G671" t="s">
        <v>115</v>
      </c>
      <c r="H671" t="s">
        <v>73</v>
      </c>
      <c r="I671" t="s">
        <v>74</v>
      </c>
      <c r="J671" t="s">
        <v>75</v>
      </c>
      <c r="K671" t="s">
        <v>45</v>
      </c>
      <c r="L671" t="s">
        <v>46</v>
      </c>
      <c r="M671" t="s">
        <v>3156</v>
      </c>
      <c r="N671" t="s">
        <v>33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34</v>
      </c>
      <c r="V671" t="s">
        <v>35</v>
      </c>
      <c r="W671">
        <f>IF(ISBLANK(Q671), 0, IFERROR(VALUE(Q671), 0.7))</f>
        <v>0.25</v>
      </c>
      <c r="X671">
        <f>D671 - C671</f>
        <v>8</v>
      </c>
      <c r="Y671">
        <f>O671 * P671 * (1 - W671)</f>
        <v>5102.16</v>
      </c>
      <c r="Z671">
        <f>Y671 - S671</f>
        <v>1875.71</v>
      </c>
      <c r="AA671">
        <f>IFERROR(Z671 / Y671, 0)</f>
        <v>0.36763057214983458</v>
      </c>
      <c r="AB671" t="str">
        <f>TEXT(C671, "mmmm")</f>
        <v>March</v>
      </c>
      <c r="AC671">
        <f>YEAR(C671)</f>
        <v>2024</v>
      </c>
      <c r="AD671" t="str">
        <f>IF(X671&lt;0, "Invalid: Ship Date Before Order Date", IF(W671&lt;0, "Invalid: Negative Discount", IF(W671&gt;0.5, "Invalid: Exceeds Allowed Discount", "OK")))</f>
        <v>OK</v>
      </c>
    </row>
    <row r="672" spans="1:30">
      <c r="A672" t="s">
        <v>3157</v>
      </c>
      <c r="B672" t="str">
        <f t="shared" si="10"/>
        <v>Unique</v>
      </c>
      <c r="C672" s="3">
        <v>45690</v>
      </c>
      <c r="D672" s="3">
        <v>45694</v>
      </c>
      <c r="E672" t="s">
        <v>2431</v>
      </c>
      <c r="F672" t="s">
        <v>168</v>
      </c>
      <c r="G672" t="s">
        <v>108</v>
      </c>
      <c r="H672" t="s">
        <v>27</v>
      </c>
      <c r="I672" t="s">
        <v>174</v>
      </c>
      <c r="J672" t="s">
        <v>175</v>
      </c>
      <c r="K672" t="s">
        <v>45</v>
      </c>
      <c r="L672" t="s">
        <v>46</v>
      </c>
      <c r="M672" t="s">
        <v>3159</v>
      </c>
      <c r="N672" t="s">
        <v>67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34</v>
      </c>
      <c r="V672" t="s">
        <v>35</v>
      </c>
      <c r="W672">
        <f>IF(ISBLANK(Q672), 0, IFERROR(VALUE(Q672), 0.7))</f>
        <v>0.1</v>
      </c>
      <c r="X672">
        <f>D672 - C672</f>
        <v>4</v>
      </c>
      <c r="Y672">
        <f>O672 * P672 * (1 - W672)</f>
        <v>6176.5920000000006</v>
      </c>
      <c r="Z672">
        <f>Y672 - S672</f>
        <v>2615.6320000000005</v>
      </c>
      <c r="AA672">
        <f>IFERROR(Z672 / Y672, 0)</f>
        <v>0.42347495188285067</v>
      </c>
      <c r="AB672" t="str">
        <f>TEXT(C672, "mmmm")</f>
        <v>February</v>
      </c>
      <c r="AC672">
        <f>YEAR(C672)</f>
        <v>2025</v>
      </c>
      <c r="AD672" t="str">
        <f>IF(X672&lt;0, "Invalid: Ship Date Before Order Date", IF(W672&lt;0, "Invalid: Negative Discount", IF(W672&gt;0.5, "Invalid: Exceeds Allowed Discount", "OK")))</f>
        <v>OK</v>
      </c>
    </row>
    <row r="673" spans="1:30">
      <c r="A673" t="s">
        <v>3160</v>
      </c>
      <c r="B673" t="str">
        <f t="shared" si="10"/>
        <v>Unique</v>
      </c>
      <c r="C673" s="3">
        <v>45373</v>
      </c>
      <c r="D673" s="3">
        <v>45378</v>
      </c>
      <c r="E673" t="s">
        <v>3163</v>
      </c>
      <c r="F673" t="s">
        <v>107</v>
      </c>
      <c r="G673" t="s">
        <v>115</v>
      </c>
      <c r="H673" t="s">
        <v>73</v>
      </c>
      <c r="I673" t="s">
        <v>249</v>
      </c>
      <c r="J673" t="s">
        <v>250</v>
      </c>
      <c r="K673" t="s">
        <v>86</v>
      </c>
      <c r="L673" t="s">
        <v>94</v>
      </c>
      <c r="M673" t="s">
        <v>3165</v>
      </c>
      <c r="N673" t="s">
        <v>33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34</v>
      </c>
      <c r="V673" t="s">
        <v>35</v>
      </c>
      <c r="W673">
        <f>IF(ISBLANK(Q673), 0, IFERROR(VALUE(Q673), 0.7))</f>
        <v>0.05</v>
      </c>
      <c r="X673">
        <f>D673 - C673</f>
        <v>5</v>
      </c>
      <c r="Y673">
        <f>O673 * P673 * (1 - W673)</f>
        <v>31203.310500000003</v>
      </c>
      <c r="Z673">
        <f>Y673 - S673</f>
        <v>13465.180500000002</v>
      </c>
      <c r="AA673">
        <f>IFERROR(Z673 / Y673, 0)</f>
        <v>0.43153051020019179</v>
      </c>
      <c r="AB673" t="str">
        <f>TEXT(C673, "mmmm")</f>
        <v>March</v>
      </c>
      <c r="AC673">
        <f>YEAR(C673)</f>
        <v>2024</v>
      </c>
      <c r="AD673" t="str">
        <f>IF(X673&lt;0, "Invalid: Ship Date Before Order Date", IF(W673&lt;0, "Invalid: Negative Discount", IF(W673&gt;0.5, "Invalid: Exceeds Allowed Discount", "OK")))</f>
        <v>OK</v>
      </c>
    </row>
    <row r="674" spans="1:30">
      <c r="A674" t="s">
        <v>3166</v>
      </c>
      <c r="B674" t="str">
        <f t="shared" si="10"/>
        <v>Unique</v>
      </c>
      <c r="C674" s="3">
        <v>45539</v>
      </c>
      <c r="D674" s="3">
        <v>45540</v>
      </c>
      <c r="E674" t="s">
        <v>3169</v>
      </c>
      <c r="F674" t="s">
        <v>107</v>
      </c>
      <c r="G674" t="s">
        <v>108</v>
      </c>
      <c r="H674" t="s">
        <v>73</v>
      </c>
      <c r="I674" t="s">
        <v>84</v>
      </c>
      <c r="J674" t="s">
        <v>85</v>
      </c>
      <c r="K674" t="s">
        <v>45</v>
      </c>
      <c r="L674" t="s">
        <v>76</v>
      </c>
      <c r="M674" t="s">
        <v>3170</v>
      </c>
      <c r="N674" t="s">
        <v>67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34</v>
      </c>
      <c r="V674" t="s">
        <v>125</v>
      </c>
      <c r="W674">
        <f>IF(ISBLANK(Q674), 0, IFERROR(VALUE(Q674), 0.7))</f>
        <v>0.05</v>
      </c>
      <c r="X674">
        <f>D674 - C674</f>
        <v>1</v>
      </c>
      <c r="Y674">
        <f>O674 * P674 * (1 - W674)</f>
        <v>12010.5175</v>
      </c>
      <c r="Z674">
        <f>Y674 - S674</f>
        <v>4145.9075000000003</v>
      </c>
      <c r="AA674">
        <f>IFERROR(Z674 / Y674, 0)</f>
        <v>0.34518974723612039</v>
      </c>
      <c r="AB674" t="str">
        <f>TEXT(C674, "mmmm")</f>
        <v>September</v>
      </c>
      <c r="AC674">
        <f>YEAR(C674)</f>
        <v>2024</v>
      </c>
      <c r="AD674" t="str">
        <f>IF(X674&lt;0, "Invalid: Ship Date Before Order Date", IF(W674&lt;0, "Invalid: Negative Discount", IF(W674&gt;0.5, "Invalid: Exceeds Allowed Discount", "OK")))</f>
        <v>OK</v>
      </c>
    </row>
    <row r="675" spans="1:30">
      <c r="A675" t="s">
        <v>3171</v>
      </c>
      <c r="B675" t="str">
        <f t="shared" si="10"/>
        <v>Unique</v>
      </c>
      <c r="C675" s="3">
        <v>45701</v>
      </c>
      <c r="D675" s="3">
        <v>45704</v>
      </c>
      <c r="E675" t="s">
        <v>3173</v>
      </c>
      <c r="F675" t="s">
        <v>61</v>
      </c>
      <c r="G675" t="s">
        <v>41</v>
      </c>
      <c r="H675" t="s">
        <v>73</v>
      </c>
      <c r="I675" t="s">
        <v>28</v>
      </c>
      <c r="J675" t="s">
        <v>135</v>
      </c>
      <c r="K675" t="s">
        <v>45</v>
      </c>
      <c r="L675" t="s">
        <v>204</v>
      </c>
      <c r="M675" t="s">
        <v>3174</v>
      </c>
      <c r="N675" t="s">
        <v>33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34</v>
      </c>
      <c r="V675" t="s">
        <v>35</v>
      </c>
      <c r="W675">
        <f>IF(ISBLANK(Q675), 0, IFERROR(VALUE(Q675), 0.7))</f>
        <v>0.15</v>
      </c>
      <c r="X675">
        <f>D675 - C675</f>
        <v>3</v>
      </c>
      <c r="Y675">
        <f>O675 * P675 * (1 - W675)</f>
        <v>13847.86</v>
      </c>
      <c r="Z675">
        <f>Y675 - S675</f>
        <v>5376.08</v>
      </c>
      <c r="AA675">
        <f>IFERROR(Z675 / Y675, 0)</f>
        <v>0.38822460654570451</v>
      </c>
      <c r="AB675" t="str">
        <f>TEXT(C675, "mmmm")</f>
        <v>February</v>
      </c>
      <c r="AC675">
        <f>YEAR(C675)</f>
        <v>2025</v>
      </c>
      <c r="AD675" t="str">
        <f>IF(X675&lt;0, "Invalid: Ship Date Before Order Date", IF(W675&lt;0, "Invalid: Negative Discount", IF(W675&gt;0.5, "Invalid: Exceeds Allowed Discount", "OK")))</f>
        <v>OK</v>
      </c>
    </row>
    <row r="676" spans="1:30">
      <c r="A676" t="s">
        <v>3175</v>
      </c>
      <c r="B676" t="str">
        <f t="shared" si="10"/>
        <v>Unique</v>
      </c>
      <c r="C676" s="3">
        <v>45430</v>
      </c>
      <c r="D676" s="3">
        <v>45433</v>
      </c>
      <c r="E676" t="s">
        <v>3178</v>
      </c>
      <c r="F676" t="s">
        <v>83</v>
      </c>
      <c r="G676" t="s">
        <v>108</v>
      </c>
      <c r="H676" t="s">
        <v>42</v>
      </c>
      <c r="I676" t="s">
        <v>311</v>
      </c>
      <c r="J676" t="s">
        <v>312</v>
      </c>
      <c r="K676" t="s">
        <v>86</v>
      </c>
      <c r="L676" t="s">
        <v>87</v>
      </c>
      <c r="M676" t="s">
        <v>3179</v>
      </c>
      <c r="N676" t="s">
        <v>33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137</v>
      </c>
      <c r="V676" t="s">
        <v>125</v>
      </c>
      <c r="W676">
        <f>IF(ISBLANK(Q676), 0, IFERROR(VALUE(Q676), 0.7))</f>
        <v>0</v>
      </c>
      <c r="X676">
        <f>D676 - C676</f>
        <v>3</v>
      </c>
      <c r="Y676">
        <f>O676 * P676 * (1 - W676)</f>
        <v>1033.71</v>
      </c>
      <c r="Z676">
        <f>Y676 - S676</f>
        <v>402.89</v>
      </c>
      <c r="AA676">
        <f>IFERROR(Z676 / Y676, 0)</f>
        <v>0.38975147768716562</v>
      </c>
      <c r="AB676" t="str">
        <f>TEXT(C676, "mmmm")</f>
        <v>May</v>
      </c>
      <c r="AC676">
        <f>YEAR(C676)</f>
        <v>2024</v>
      </c>
      <c r="AD676" t="str">
        <f>IF(X676&lt;0, "Invalid: Ship Date Before Order Date", IF(W676&lt;0, "Invalid: Negative Discount", IF(W676&gt;0.5, "Invalid: Exceeds Allowed Discount", "OK")))</f>
        <v>OK</v>
      </c>
    </row>
    <row r="677" spans="1:30">
      <c r="A677" t="s">
        <v>3180</v>
      </c>
      <c r="B677" t="str">
        <f t="shared" si="10"/>
        <v>Unique</v>
      </c>
      <c r="C677" s="3">
        <v>45844</v>
      </c>
      <c r="D677" s="3">
        <v>45818</v>
      </c>
      <c r="E677" t="s">
        <v>3033</v>
      </c>
      <c r="F677" t="s">
        <v>162</v>
      </c>
      <c r="G677" t="s">
        <v>26</v>
      </c>
      <c r="H677" t="s">
        <v>27</v>
      </c>
      <c r="I677" t="s">
        <v>28</v>
      </c>
      <c r="J677" t="s">
        <v>29</v>
      </c>
      <c r="K677" t="s">
        <v>45</v>
      </c>
      <c r="L677" t="s">
        <v>65</v>
      </c>
      <c r="M677" t="s">
        <v>3183</v>
      </c>
      <c r="N677" t="s">
        <v>48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34</v>
      </c>
      <c r="V677" t="s">
        <v>35</v>
      </c>
      <c r="W677">
        <f>IF(ISBLANK(Q677), 0, IFERROR(VALUE(Q677), 0.7))</f>
        <v>0</v>
      </c>
      <c r="X677">
        <f>D677 - C677</f>
        <v>-26</v>
      </c>
      <c r="Y677">
        <f>O677 * P677 * (1 - W677)</f>
        <v>2889.7799999999997</v>
      </c>
      <c r="Z677">
        <f>Y677 - S677</f>
        <v>1078.5499999999997</v>
      </c>
      <c r="AA677">
        <f>IFERROR(Z677 / Y677, 0)</f>
        <v>0.37322910394562903</v>
      </c>
      <c r="AB677" t="str">
        <f>TEXT(C677, "mmmm")</f>
        <v>July</v>
      </c>
      <c r="AC677">
        <f>YEAR(C677)</f>
        <v>2025</v>
      </c>
      <c r="AD677" t="str">
        <f>IF(X677&lt;0, "Invalid: Ship Date Before Order Date", IF(W677&lt;0, "Invalid: Negative Discount", IF(W677&gt;0.5, "Invalid: Exceeds Allowed Discount", "OK")))</f>
        <v>Invalid: Ship Date Before Order Date</v>
      </c>
    </row>
    <row r="678" spans="1:30">
      <c r="A678" t="s">
        <v>3184</v>
      </c>
      <c r="B678" t="str">
        <f t="shared" si="10"/>
        <v>Unique</v>
      </c>
      <c r="C678" s="3">
        <v>45911</v>
      </c>
      <c r="D678" s="3">
        <v>45918</v>
      </c>
      <c r="E678" t="s">
        <v>3187</v>
      </c>
      <c r="F678" t="s">
        <v>148</v>
      </c>
      <c r="G678" t="s">
        <v>41</v>
      </c>
      <c r="H678" t="s">
        <v>27</v>
      </c>
      <c r="I678" t="s">
        <v>506</v>
      </c>
      <c r="J678" t="s">
        <v>507</v>
      </c>
      <c r="K678" t="s">
        <v>86</v>
      </c>
      <c r="L678" t="s">
        <v>223</v>
      </c>
      <c r="M678" t="s">
        <v>3188</v>
      </c>
      <c r="N678" t="s">
        <v>48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34</v>
      </c>
      <c r="V678" t="s">
        <v>35</v>
      </c>
      <c r="W678">
        <f>IF(ISBLANK(Q678), 0, IFERROR(VALUE(Q678), 0.7))</f>
        <v>0.15</v>
      </c>
      <c r="X678">
        <f>D678 - C678</f>
        <v>7</v>
      </c>
      <c r="Y678">
        <f>O678 * P678 * (1 - W678)</f>
        <v>20296.699499999999</v>
      </c>
      <c r="Z678">
        <f>Y678 - S678</f>
        <v>5375.829499999998</v>
      </c>
      <c r="AA678">
        <f>IFERROR(Z678 / Y678, 0)</f>
        <v>0.26486225014071862</v>
      </c>
      <c r="AB678" t="str">
        <f>TEXT(C678, "mmmm")</f>
        <v>September</v>
      </c>
      <c r="AC678">
        <f>YEAR(C678)</f>
        <v>2025</v>
      </c>
      <c r="AD678" t="str">
        <f>IF(X678&lt;0, "Invalid: Ship Date Before Order Date", IF(W678&lt;0, "Invalid: Negative Discount", IF(W678&gt;0.5, "Invalid: Exceeds Allowed Discount", "OK")))</f>
        <v>OK</v>
      </c>
    </row>
    <row r="679" spans="1:30">
      <c r="A679" t="s">
        <v>3189</v>
      </c>
      <c r="B679" t="str">
        <f t="shared" si="10"/>
        <v>Unique</v>
      </c>
      <c r="C679" s="3">
        <v>45465</v>
      </c>
      <c r="D679" s="3">
        <v>45470</v>
      </c>
      <c r="E679" t="s">
        <v>24</v>
      </c>
      <c r="F679" t="s">
        <v>53</v>
      </c>
      <c r="G679" t="s">
        <v>115</v>
      </c>
      <c r="H679" t="s">
        <v>62</v>
      </c>
      <c r="I679" t="s">
        <v>229</v>
      </c>
      <c r="J679" t="s">
        <v>230</v>
      </c>
      <c r="K679" t="s">
        <v>45</v>
      </c>
      <c r="L679" t="s">
        <v>76</v>
      </c>
      <c r="M679" t="s">
        <v>3192</v>
      </c>
      <c r="N679" t="s">
        <v>48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34</v>
      </c>
      <c r="V679" t="s">
        <v>35</v>
      </c>
      <c r="W679">
        <f>IF(ISBLANK(Q679), 0, IFERROR(VALUE(Q679), 0.7))</f>
        <v>0</v>
      </c>
      <c r="X679">
        <f>D679 - C679</f>
        <v>5</v>
      </c>
      <c r="Y679">
        <f>O679 * P679 * (1 - W679)</f>
        <v>18364.36</v>
      </c>
      <c r="Z679">
        <f>Y679 - S679</f>
        <v>2918.5500000000011</v>
      </c>
      <c r="AA679">
        <f>IFERROR(Z679 / Y679, 0)</f>
        <v>0.15892467801763857</v>
      </c>
      <c r="AB679" t="str">
        <f>TEXT(C679, "mmmm")</f>
        <v>June</v>
      </c>
      <c r="AC679">
        <f>YEAR(C679)</f>
        <v>2024</v>
      </c>
      <c r="AD679" t="str">
        <f>IF(X679&lt;0, "Invalid: Ship Date Before Order Date", IF(W679&lt;0, "Invalid: Negative Discount", IF(W679&gt;0.5, "Invalid: Exceeds Allowed Discount", "OK")))</f>
        <v>OK</v>
      </c>
    </row>
    <row r="680" spans="1:30">
      <c r="A680" t="s">
        <v>3193</v>
      </c>
      <c r="B680" t="str">
        <f t="shared" si="10"/>
        <v>Unique</v>
      </c>
      <c r="C680" s="3">
        <v>45620</v>
      </c>
      <c r="D680" s="3">
        <v>45627</v>
      </c>
      <c r="E680" t="s">
        <v>3196</v>
      </c>
      <c r="F680" t="s">
        <v>366</v>
      </c>
      <c r="G680" t="s">
        <v>108</v>
      </c>
      <c r="H680" t="s">
        <v>62</v>
      </c>
      <c r="I680" t="s">
        <v>229</v>
      </c>
      <c r="J680" t="s">
        <v>230</v>
      </c>
      <c r="K680" t="s">
        <v>45</v>
      </c>
      <c r="L680" t="s">
        <v>46</v>
      </c>
      <c r="M680" t="s">
        <v>3197</v>
      </c>
      <c r="N680" t="s">
        <v>33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34</v>
      </c>
      <c r="V680" t="s">
        <v>35</v>
      </c>
      <c r="W680">
        <f>IF(ISBLANK(Q680), 0, IFERROR(VALUE(Q680), 0.7))</f>
        <v>0.15</v>
      </c>
      <c r="X680">
        <f>D680 - C680</f>
        <v>7</v>
      </c>
      <c r="Y680">
        <f>O680 * P680 * (1 - W680)</f>
        <v>21141.6165</v>
      </c>
      <c r="Z680">
        <f>Y680 - S680</f>
        <v>9465.2865000000002</v>
      </c>
      <c r="AA680">
        <f>IFERROR(Z680 / Y680, 0)</f>
        <v>0.44770874071999178</v>
      </c>
      <c r="AB680" t="str">
        <f>TEXT(C680, "mmmm")</f>
        <v>November</v>
      </c>
      <c r="AC680">
        <f>YEAR(C680)</f>
        <v>2024</v>
      </c>
      <c r="AD680" t="str">
        <f>IF(X680&lt;0, "Invalid: Ship Date Before Order Date", IF(W680&lt;0, "Invalid: Negative Discount", IF(W680&gt;0.5, "Invalid: Exceeds Allowed Discount", "OK")))</f>
        <v>OK</v>
      </c>
    </row>
    <row r="681" spans="1:30">
      <c r="A681" t="s">
        <v>3198</v>
      </c>
      <c r="B681" t="str">
        <f t="shared" si="10"/>
        <v>Unique</v>
      </c>
      <c r="C681" s="3">
        <v>45885</v>
      </c>
      <c r="D681" s="3">
        <v>45892</v>
      </c>
      <c r="E681" t="s">
        <v>3200</v>
      </c>
      <c r="F681" t="s">
        <v>180</v>
      </c>
      <c r="G681" t="s">
        <v>108</v>
      </c>
      <c r="H681" t="s">
        <v>27</v>
      </c>
      <c r="I681" t="s">
        <v>154</v>
      </c>
      <c r="J681" t="s">
        <v>155</v>
      </c>
      <c r="K681" t="s">
        <v>86</v>
      </c>
      <c r="L681" t="s">
        <v>94</v>
      </c>
      <c r="M681" t="s">
        <v>3201</v>
      </c>
      <c r="N681" t="s">
        <v>48</v>
      </c>
      <c r="O681">
        <v>4</v>
      </c>
      <c r="P681">
        <v>1410.57</v>
      </c>
      <c r="Q681" t="s">
        <v>681</v>
      </c>
      <c r="R681">
        <v>5360.17</v>
      </c>
      <c r="S681">
        <v>3881.51</v>
      </c>
      <c r="T681">
        <v>1478.66</v>
      </c>
      <c r="U681" t="s">
        <v>124</v>
      </c>
      <c r="V681" t="s">
        <v>78</v>
      </c>
      <c r="W681">
        <f>IF(ISBLANK(Q681), 0, IFERROR(VALUE(Q681), 0.7))</f>
        <v>0.7</v>
      </c>
      <c r="X681">
        <f>D681 - C681</f>
        <v>7</v>
      </c>
      <c r="Y681">
        <f>O681 * P681 * (1 - W681)</f>
        <v>1692.6840000000002</v>
      </c>
      <c r="Z681">
        <f>Y681 - S681</f>
        <v>-2188.826</v>
      </c>
      <c r="AA681">
        <f>IFERROR(Z681 / Y681, 0)</f>
        <v>-1.2931096412561351</v>
      </c>
      <c r="AB681" t="str">
        <f>TEXT(C681, "mmmm")</f>
        <v>August</v>
      </c>
      <c r="AC681">
        <f>YEAR(C681)</f>
        <v>2025</v>
      </c>
      <c r="AD681" t="str">
        <f>IF(X681&lt;0, "Invalid: Ship Date Before Order Date", IF(W681&lt;0, "Invalid: Negative Discount", IF(W681&gt;0.5, "Invalid: Exceeds Allowed Discount", "OK")))</f>
        <v>Invalid: Exceeds Allowed Discount</v>
      </c>
    </row>
    <row r="682" spans="1:30">
      <c r="A682" t="s">
        <v>3202</v>
      </c>
      <c r="B682" t="str">
        <f t="shared" si="10"/>
        <v>Unique</v>
      </c>
      <c r="C682" s="3">
        <v>45441</v>
      </c>
      <c r="D682" s="3">
        <v>45448</v>
      </c>
      <c r="E682" t="s">
        <v>3203</v>
      </c>
      <c r="F682" t="s">
        <v>366</v>
      </c>
      <c r="G682" t="s">
        <v>108</v>
      </c>
      <c r="H682" t="s">
        <v>62</v>
      </c>
      <c r="I682" t="s">
        <v>339</v>
      </c>
      <c r="J682" t="s">
        <v>340</v>
      </c>
      <c r="K682" t="s">
        <v>86</v>
      </c>
      <c r="L682" t="s">
        <v>87</v>
      </c>
      <c r="M682" t="s">
        <v>3204</v>
      </c>
      <c r="N682" t="s">
        <v>56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34</v>
      </c>
      <c r="V682" t="s">
        <v>35</v>
      </c>
      <c r="W682">
        <f>IF(ISBLANK(Q682), 0, IFERROR(VALUE(Q682), 0.7))</f>
        <v>0</v>
      </c>
      <c r="X682">
        <f>D682 - C682</f>
        <v>7</v>
      </c>
      <c r="Y682">
        <f>O682 * P682 * (1 - W682)</f>
        <v>14800.96</v>
      </c>
      <c r="Z682">
        <f>Y682 - S682</f>
        <v>2752.5699999999997</v>
      </c>
      <c r="AA682">
        <f>IFERROR(Z682 / Y682, 0)</f>
        <v>0.18597239638509933</v>
      </c>
      <c r="AB682" t="str">
        <f>TEXT(C682, "mmmm")</f>
        <v>May</v>
      </c>
      <c r="AC682">
        <f>YEAR(C682)</f>
        <v>2024</v>
      </c>
      <c r="AD682" t="str">
        <f>IF(X682&lt;0, "Invalid: Ship Date Before Order Date", IF(W682&lt;0, "Invalid: Negative Discount", IF(W682&gt;0.5, "Invalid: Exceeds Allowed Discount", "OK")))</f>
        <v>OK</v>
      </c>
    </row>
    <row r="683" spans="1:30">
      <c r="A683" t="s">
        <v>3205</v>
      </c>
      <c r="B683" t="str">
        <f t="shared" si="10"/>
        <v>Unique</v>
      </c>
      <c r="C683" s="3">
        <v>45477</v>
      </c>
      <c r="D683" s="3">
        <v>45483</v>
      </c>
      <c r="E683" t="s">
        <v>3208</v>
      </c>
      <c r="F683" t="s">
        <v>83</v>
      </c>
      <c r="G683" t="s">
        <v>108</v>
      </c>
      <c r="H683" t="s">
        <v>27</v>
      </c>
      <c r="I683" t="s">
        <v>506</v>
      </c>
      <c r="J683" t="s">
        <v>507</v>
      </c>
      <c r="K683" t="s">
        <v>45</v>
      </c>
      <c r="L683" t="s">
        <v>46</v>
      </c>
      <c r="M683" t="s">
        <v>3209</v>
      </c>
      <c r="N683" t="s">
        <v>33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34</v>
      </c>
      <c r="V683" t="s">
        <v>78</v>
      </c>
      <c r="W683">
        <f>IF(ISBLANK(Q683), 0, IFERROR(VALUE(Q683), 0.7))</f>
        <v>0</v>
      </c>
      <c r="X683">
        <f>D683 - C683</f>
        <v>6</v>
      </c>
      <c r="Y683">
        <f>O683 * P683 * (1 - W683)</f>
        <v>6001.35</v>
      </c>
      <c r="Z683">
        <f>Y683 - S683</f>
        <v>1818.3600000000006</v>
      </c>
      <c r="AA683">
        <f>IFERROR(Z683 / Y683, 0)</f>
        <v>0.30299182683896131</v>
      </c>
      <c r="AB683" t="str">
        <f>TEXT(C683, "mmmm")</f>
        <v>July</v>
      </c>
      <c r="AC683">
        <f>YEAR(C683)</f>
        <v>2024</v>
      </c>
      <c r="AD683" t="str">
        <f>IF(X683&lt;0, "Invalid: Ship Date Before Order Date", IF(W683&lt;0, "Invalid: Negative Discount", IF(W683&gt;0.5, "Invalid: Exceeds Allowed Discount", "OK")))</f>
        <v>OK</v>
      </c>
    </row>
    <row r="684" spans="1:30">
      <c r="A684" t="s">
        <v>3210</v>
      </c>
      <c r="B684" t="str">
        <f t="shared" si="10"/>
        <v>Unique</v>
      </c>
      <c r="C684" s="3">
        <v>45693</v>
      </c>
      <c r="D684" s="3">
        <v>45779</v>
      </c>
      <c r="E684" t="s">
        <v>3211</v>
      </c>
      <c r="F684" t="s">
        <v>72</v>
      </c>
      <c r="G684" t="s">
        <v>108</v>
      </c>
      <c r="H684" t="s">
        <v>27</v>
      </c>
      <c r="I684" t="s">
        <v>323</v>
      </c>
      <c r="J684" t="s">
        <v>324</v>
      </c>
      <c r="K684" t="s">
        <v>30</v>
      </c>
      <c r="L684" t="s">
        <v>156</v>
      </c>
      <c r="M684" t="s">
        <v>3213</v>
      </c>
      <c r="N684" t="s">
        <v>48</v>
      </c>
      <c r="O684">
        <v>3</v>
      </c>
      <c r="P684">
        <v>2590.7800000000002</v>
      </c>
      <c r="R684">
        <v>7383.72</v>
      </c>
      <c r="S684">
        <v>4113.66</v>
      </c>
      <c r="T684">
        <v>3270.06</v>
      </c>
      <c r="U684" t="s">
        <v>34</v>
      </c>
      <c r="V684" t="s">
        <v>35</v>
      </c>
      <c r="W684">
        <f>IF(ISBLANK(Q684), 0, IFERROR(VALUE(Q684), 0.7))</f>
        <v>0</v>
      </c>
      <c r="X684">
        <f>D684 - C684</f>
        <v>86</v>
      </c>
      <c r="Y684">
        <f>O684 * P684 * (1 - W684)</f>
        <v>7772.34</v>
      </c>
      <c r="Z684">
        <f>Y684 - S684</f>
        <v>3658.6800000000003</v>
      </c>
      <c r="AA684">
        <f>IFERROR(Z684 / Y684, 0)</f>
        <v>0.47073082237781677</v>
      </c>
      <c r="AB684" t="str">
        <f>TEXT(C684, "mmmm")</f>
        <v>February</v>
      </c>
      <c r="AC684">
        <f>YEAR(C684)</f>
        <v>2025</v>
      </c>
      <c r="AD684" t="str">
        <f>IF(X684&lt;0, "Invalid: Ship Date Before Order Date", IF(W684&lt;0, "Invalid: Negative Discount", IF(W684&gt;0.5, "Invalid: Exceeds Allowed Discount", "OK")))</f>
        <v>OK</v>
      </c>
    </row>
    <row r="685" spans="1:30">
      <c r="A685" t="s">
        <v>3214</v>
      </c>
      <c r="B685" t="str">
        <f t="shared" si="10"/>
        <v>Unique</v>
      </c>
      <c r="C685" s="3">
        <v>45858</v>
      </c>
      <c r="D685" s="3">
        <v>45862</v>
      </c>
      <c r="E685" t="s">
        <v>3216</v>
      </c>
      <c r="F685" t="s">
        <v>61</v>
      </c>
      <c r="G685" t="s">
        <v>41</v>
      </c>
      <c r="H685" t="s">
        <v>62</v>
      </c>
      <c r="I685" t="s">
        <v>63</v>
      </c>
      <c r="J685" t="s">
        <v>64</v>
      </c>
      <c r="K685" t="s">
        <v>45</v>
      </c>
      <c r="L685" t="s">
        <v>65</v>
      </c>
      <c r="M685" t="s">
        <v>3217</v>
      </c>
      <c r="N685" t="s">
        <v>33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124</v>
      </c>
      <c r="V685" t="s">
        <v>78</v>
      </c>
      <c r="W685">
        <f>IF(ISBLANK(Q685), 0, IFERROR(VALUE(Q685), 0.7))</f>
        <v>0.2</v>
      </c>
      <c r="X685">
        <f>D685 - C685</f>
        <v>4</v>
      </c>
      <c r="Y685">
        <f>O685 * P685 * (1 - W685)</f>
        <v>7902.9600000000009</v>
      </c>
      <c r="Z685">
        <f>Y685 - S685</f>
        <v>2390.9300000000012</v>
      </c>
      <c r="AA685">
        <f>IFERROR(Z685 / Y685, 0)</f>
        <v>0.30253601182341816</v>
      </c>
      <c r="AB685" t="str">
        <f>TEXT(C685, "mmmm")</f>
        <v>July</v>
      </c>
      <c r="AC685">
        <f>YEAR(C685)</f>
        <v>2025</v>
      </c>
      <c r="AD685" t="str">
        <f>IF(X685&lt;0, "Invalid: Ship Date Before Order Date", IF(W685&lt;0, "Invalid: Negative Discount", IF(W685&gt;0.5, "Invalid: Exceeds Allowed Discount", "OK")))</f>
        <v>OK</v>
      </c>
    </row>
    <row r="686" spans="1:30">
      <c r="A686" t="s">
        <v>3218</v>
      </c>
      <c r="B686" t="str">
        <f t="shared" si="10"/>
        <v>Unique</v>
      </c>
      <c r="C686" s="3">
        <v>45859</v>
      </c>
      <c r="D686" s="3">
        <v>45859</v>
      </c>
      <c r="E686" t="s">
        <v>3220</v>
      </c>
      <c r="F686" t="s">
        <v>53</v>
      </c>
      <c r="G686" t="s">
        <v>115</v>
      </c>
      <c r="H686" t="s">
        <v>62</v>
      </c>
      <c r="I686" t="s">
        <v>339</v>
      </c>
      <c r="J686" t="s">
        <v>340</v>
      </c>
      <c r="K686" t="s">
        <v>45</v>
      </c>
      <c r="L686" t="s">
        <v>204</v>
      </c>
      <c r="M686" t="s">
        <v>3221</v>
      </c>
      <c r="N686" t="s">
        <v>56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124</v>
      </c>
      <c r="V686" t="s">
        <v>78</v>
      </c>
      <c r="W686">
        <f>IF(ISBLANK(Q686), 0, IFERROR(VALUE(Q686), 0.7))</f>
        <v>0.2</v>
      </c>
      <c r="X686">
        <f>D686 - C686</f>
        <v>0</v>
      </c>
      <c r="Y686">
        <f>O686 * P686 * (1 - W686)</f>
        <v>24621.239999999998</v>
      </c>
      <c r="Z686">
        <f>Y686 - S686</f>
        <v>7465.7599999999984</v>
      </c>
      <c r="AA686">
        <f>IFERROR(Z686 / Y686, 0)</f>
        <v>0.3032243705028666</v>
      </c>
      <c r="AB686" t="str">
        <f>TEXT(C686, "mmmm")</f>
        <v>July</v>
      </c>
      <c r="AC686">
        <f>YEAR(C686)</f>
        <v>2025</v>
      </c>
      <c r="AD686" t="str">
        <f>IF(X686&lt;0, "Invalid: Ship Date Before Order Date", IF(W686&lt;0, "Invalid: Negative Discount", IF(W686&gt;0.5, "Invalid: Exceeds Allowed Discount", "OK")))</f>
        <v>OK</v>
      </c>
    </row>
    <row r="687" spans="1:30">
      <c r="A687" t="s">
        <v>3222</v>
      </c>
      <c r="B687" t="str">
        <f t="shared" si="10"/>
        <v>Unique</v>
      </c>
      <c r="C687" s="3">
        <v>45931</v>
      </c>
      <c r="D687" s="3">
        <v>45933</v>
      </c>
      <c r="E687" t="s">
        <v>2734</v>
      </c>
      <c r="F687" t="s">
        <v>93</v>
      </c>
      <c r="G687" t="s">
        <v>108</v>
      </c>
      <c r="H687" t="s">
        <v>73</v>
      </c>
      <c r="I687" t="s">
        <v>249</v>
      </c>
      <c r="J687" t="s">
        <v>250</v>
      </c>
      <c r="K687" t="s">
        <v>30</v>
      </c>
      <c r="L687" t="s">
        <v>54</v>
      </c>
      <c r="M687" t="s">
        <v>3224</v>
      </c>
      <c r="N687" t="s">
        <v>67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200</v>
      </c>
      <c r="V687" t="s">
        <v>78</v>
      </c>
      <c r="W687">
        <f>IF(ISBLANK(Q687), 0, IFERROR(VALUE(Q687), 0.7))</f>
        <v>0.55000000000000004</v>
      </c>
      <c r="X687">
        <f>D687 - C687</f>
        <v>2</v>
      </c>
      <c r="Y687">
        <f>O687 * P687 * (1 - W687)</f>
        <v>3313.5074999999993</v>
      </c>
      <c r="Z687">
        <f>Y687 - S687</f>
        <v>-2293.2825000000007</v>
      </c>
      <c r="AA687">
        <f>IFERROR(Z687 / Y687, 0)</f>
        <v>-0.69210119488185895</v>
      </c>
      <c r="AB687" t="str">
        <f>TEXT(C687, "mmmm")</f>
        <v>October</v>
      </c>
      <c r="AC687">
        <f>YEAR(C687)</f>
        <v>2025</v>
      </c>
      <c r="AD687" t="str">
        <f>IF(X687&lt;0, "Invalid: Ship Date Before Order Date", IF(W687&lt;0, "Invalid: Negative Discount", IF(W687&gt;0.5, "Invalid: Exceeds Allowed Discount", "OK")))</f>
        <v>Invalid: Exceeds Allowed Discount</v>
      </c>
    </row>
    <row r="688" spans="1:30">
      <c r="A688" t="s">
        <v>3225</v>
      </c>
      <c r="B688" t="str">
        <f t="shared" si="10"/>
        <v>Unique</v>
      </c>
      <c r="C688" s="3">
        <v>45376</v>
      </c>
      <c r="D688" s="3">
        <v>45384</v>
      </c>
      <c r="E688" t="s">
        <v>3227</v>
      </c>
      <c r="F688" t="s">
        <v>168</v>
      </c>
      <c r="G688" t="s">
        <v>115</v>
      </c>
      <c r="H688" t="s">
        <v>62</v>
      </c>
      <c r="I688" t="s">
        <v>339</v>
      </c>
      <c r="J688" t="s">
        <v>340</v>
      </c>
      <c r="K688" t="s">
        <v>86</v>
      </c>
      <c r="L688" t="s">
        <v>94</v>
      </c>
      <c r="M688" t="s">
        <v>3228</v>
      </c>
      <c r="N688" t="s">
        <v>67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34</v>
      </c>
      <c r="V688" t="s">
        <v>35</v>
      </c>
      <c r="W688">
        <f>IF(ISBLANK(Q688), 0, IFERROR(VALUE(Q688), 0.7))</f>
        <v>0</v>
      </c>
      <c r="X688">
        <f>D688 - C688</f>
        <v>8</v>
      </c>
      <c r="Y688">
        <f>O688 * P688 * (1 - W688)</f>
        <v>4698.26</v>
      </c>
      <c r="Z688">
        <f>Y688 - S688</f>
        <v>2043.3400000000001</v>
      </c>
      <c r="AA688">
        <f>IFERROR(Z688 / Y688, 0)</f>
        <v>0.43491420227914163</v>
      </c>
      <c r="AB688" t="str">
        <f>TEXT(C688, "mmmm")</f>
        <v>March</v>
      </c>
      <c r="AC688">
        <f>YEAR(C688)</f>
        <v>2024</v>
      </c>
      <c r="AD688" t="str">
        <f>IF(X688&lt;0, "Invalid: Ship Date Before Order Date", IF(W688&lt;0, "Invalid: Negative Discount", IF(W688&gt;0.5, "Invalid: Exceeds Allowed Discount", "OK")))</f>
        <v>OK</v>
      </c>
    </row>
    <row r="689" spans="1:30">
      <c r="A689" t="s">
        <v>3229</v>
      </c>
      <c r="B689" t="str">
        <f t="shared" si="10"/>
        <v>Unique</v>
      </c>
      <c r="C689" s="3">
        <v>45938</v>
      </c>
      <c r="D689" s="3">
        <v>45943</v>
      </c>
      <c r="E689" t="s">
        <v>3231</v>
      </c>
      <c r="F689" t="s">
        <v>40</v>
      </c>
      <c r="G689" t="s">
        <v>115</v>
      </c>
      <c r="H689" t="s">
        <v>27</v>
      </c>
      <c r="I689" t="s">
        <v>154</v>
      </c>
      <c r="J689" t="s">
        <v>155</v>
      </c>
      <c r="K689" t="s">
        <v>45</v>
      </c>
      <c r="L689" t="s">
        <v>46</v>
      </c>
      <c r="M689" t="s">
        <v>3232</v>
      </c>
      <c r="N689" t="s">
        <v>56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200</v>
      </c>
      <c r="V689" t="s">
        <v>78</v>
      </c>
      <c r="W689">
        <f>IF(ISBLANK(Q689), 0, IFERROR(VALUE(Q689), 0.7))</f>
        <v>0</v>
      </c>
      <c r="X689">
        <f>D689 - C689</f>
        <v>5</v>
      </c>
      <c r="Y689">
        <f>O689 * P689 * (1 - W689)</f>
        <v>688.2</v>
      </c>
      <c r="Z689">
        <f>Y689 - S689</f>
        <v>190.52000000000004</v>
      </c>
      <c r="AA689">
        <f>IFERROR(Z689 / Y689, 0)</f>
        <v>0.27683812845103173</v>
      </c>
      <c r="AB689" t="str">
        <f>TEXT(C689, "mmmm")</f>
        <v>October</v>
      </c>
      <c r="AC689">
        <f>YEAR(C689)</f>
        <v>2025</v>
      </c>
      <c r="AD689" t="str">
        <f>IF(X689&lt;0, "Invalid: Ship Date Before Order Date", IF(W689&lt;0, "Invalid: Negative Discount", IF(W689&gt;0.5, "Invalid: Exceeds Allowed Discount", "OK")))</f>
        <v>OK</v>
      </c>
    </row>
    <row r="690" spans="1:30">
      <c r="A690" t="s">
        <v>3233</v>
      </c>
      <c r="B690" t="str">
        <f t="shared" si="10"/>
        <v>Unique</v>
      </c>
      <c r="C690" s="3">
        <v>45714</v>
      </c>
      <c r="D690" s="3">
        <v>45715</v>
      </c>
      <c r="E690" t="s">
        <v>3235</v>
      </c>
      <c r="F690" t="s">
        <v>93</v>
      </c>
      <c r="G690" t="s">
        <v>115</v>
      </c>
      <c r="H690" t="s">
        <v>27</v>
      </c>
      <c r="I690" t="s">
        <v>323</v>
      </c>
      <c r="J690" t="s">
        <v>324</v>
      </c>
      <c r="K690" t="s">
        <v>30</v>
      </c>
      <c r="L690" t="s">
        <v>54</v>
      </c>
      <c r="M690" t="s">
        <v>3236</v>
      </c>
      <c r="N690" t="s">
        <v>33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34</v>
      </c>
      <c r="V690" t="s">
        <v>35</v>
      </c>
      <c r="W690">
        <f>IF(ISBLANK(Q690), 0, IFERROR(VALUE(Q690), 0.7))</f>
        <v>0.15</v>
      </c>
      <c r="X690">
        <f>D690 - C690</f>
        <v>1</v>
      </c>
      <c r="Y690">
        <f>O690 * P690 * (1 - W690)</f>
        <v>15492.065999999999</v>
      </c>
      <c r="Z690">
        <f>Y690 - S690</f>
        <v>2910.8359999999993</v>
      </c>
      <c r="AA690">
        <f>IFERROR(Z690 / Y690, 0)</f>
        <v>0.18789204745190213</v>
      </c>
      <c r="AB690" t="str">
        <f>TEXT(C690, "mmmm")</f>
        <v>February</v>
      </c>
      <c r="AC690">
        <f>YEAR(C690)</f>
        <v>2025</v>
      </c>
      <c r="AD690" t="str">
        <f>IF(X690&lt;0, "Invalid: Ship Date Before Order Date", IF(W690&lt;0, "Invalid: Negative Discount", IF(W690&gt;0.5, "Invalid: Exceeds Allowed Discount", "OK")))</f>
        <v>OK</v>
      </c>
    </row>
    <row r="691" spans="1:30">
      <c r="A691" t="s">
        <v>3237</v>
      </c>
      <c r="B691" t="str">
        <f t="shared" si="10"/>
        <v>Unique</v>
      </c>
      <c r="C691" s="3">
        <v>45422</v>
      </c>
      <c r="D691" s="3">
        <v>45571</v>
      </c>
      <c r="E691" t="s">
        <v>3240</v>
      </c>
      <c r="F691" t="s">
        <v>180</v>
      </c>
      <c r="G691" t="s">
        <v>41</v>
      </c>
      <c r="H691" t="s">
        <v>27</v>
      </c>
      <c r="I691" t="s">
        <v>154</v>
      </c>
      <c r="J691" t="s">
        <v>155</v>
      </c>
      <c r="K691" t="s">
        <v>45</v>
      </c>
      <c r="L691" t="s">
        <v>46</v>
      </c>
      <c r="M691" t="s">
        <v>3241</v>
      </c>
      <c r="N691" t="s">
        <v>67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200</v>
      </c>
      <c r="V691" t="s">
        <v>78</v>
      </c>
      <c r="W691">
        <f>IF(ISBLANK(Q691), 0, IFERROR(VALUE(Q691), 0.7))</f>
        <v>0.15</v>
      </c>
      <c r="X691">
        <f>D691 - C691</f>
        <v>149</v>
      </c>
      <c r="Y691">
        <f>O691 * P691 * (1 - W691)</f>
        <v>3745.2870000000003</v>
      </c>
      <c r="Z691">
        <f>Y691 - S691</f>
        <v>1442.6370000000002</v>
      </c>
      <c r="AA691">
        <f>IFERROR(Z691 / Y691, 0)</f>
        <v>0.38518730340291679</v>
      </c>
      <c r="AB691" t="str">
        <f>TEXT(C691, "mmmm")</f>
        <v>May</v>
      </c>
      <c r="AC691">
        <f>YEAR(C691)</f>
        <v>2024</v>
      </c>
      <c r="AD691" t="str">
        <f>IF(X691&lt;0, "Invalid: Ship Date Before Order Date", IF(W691&lt;0, "Invalid: Negative Discount", IF(W691&gt;0.5, "Invalid: Exceeds Allowed Discount", "OK")))</f>
        <v>OK</v>
      </c>
    </row>
    <row r="692" spans="1:30">
      <c r="A692" t="s">
        <v>3242</v>
      </c>
      <c r="B692" t="str">
        <f t="shared" si="10"/>
        <v>Unique</v>
      </c>
      <c r="C692" s="3">
        <v>45546</v>
      </c>
      <c r="D692" s="3">
        <v>45550</v>
      </c>
      <c r="E692" t="s">
        <v>3244</v>
      </c>
      <c r="F692" t="s">
        <v>168</v>
      </c>
      <c r="G692" t="s">
        <v>108</v>
      </c>
      <c r="H692" t="s">
        <v>62</v>
      </c>
      <c r="I692" t="s">
        <v>339</v>
      </c>
      <c r="J692" t="s">
        <v>340</v>
      </c>
      <c r="K692" t="s">
        <v>30</v>
      </c>
      <c r="L692" t="s">
        <v>54</v>
      </c>
      <c r="M692" t="s">
        <v>3245</v>
      </c>
      <c r="N692" t="s">
        <v>67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200</v>
      </c>
      <c r="V692" t="s">
        <v>125</v>
      </c>
      <c r="W692">
        <f>IF(ISBLANK(Q692), 0, IFERROR(VALUE(Q692), 0.7))</f>
        <v>0</v>
      </c>
      <c r="X692">
        <f>D692 - C692</f>
        <v>4</v>
      </c>
      <c r="Y692">
        <f>O692 * P692 * (1 - W692)</f>
        <v>3462.52</v>
      </c>
      <c r="Z692">
        <f>Y692 - S692</f>
        <v>665.23</v>
      </c>
      <c r="AA692">
        <f>IFERROR(Z692 / Y692, 0)</f>
        <v>0.19212307798944123</v>
      </c>
      <c r="AB692" t="str">
        <f>TEXT(C692, "mmmm")</f>
        <v>September</v>
      </c>
      <c r="AC692">
        <f>YEAR(C692)</f>
        <v>2024</v>
      </c>
      <c r="AD692" t="str">
        <f>IF(X692&lt;0, "Invalid: Ship Date Before Order Date", IF(W692&lt;0, "Invalid: Negative Discount", IF(W692&gt;0.5, "Invalid: Exceeds Allowed Discount", "OK")))</f>
        <v>OK</v>
      </c>
    </row>
    <row r="693" spans="1:30">
      <c r="A693" t="s">
        <v>3246</v>
      </c>
      <c r="B693" t="str">
        <f t="shared" si="10"/>
        <v>Unique</v>
      </c>
      <c r="C693" s="3">
        <v>45641</v>
      </c>
      <c r="D693" s="3">
        <v>45642</v>
      </c>
      <c r="E693" t="s">
        <v>3248</v>
      </c>
      <c r="F693" t="s">
        <v>180</v>
      </c>
      <c r="G693" t="s">
        <v>26</v>
      </c>
      <c r="H693" t="s">
        <v>42</v>
      </c>
      <c r="I693" t="s">
        <v>43</v>
      </c>
      <c r="J693" t="s">
        <v>44</v>
      </c>
      <c r="K693" t="s">
        <v>86</v>
      </c>
      <c r="L693" t="s">
        <v>94</v>
      </c>
      <c r="M693" t="s">
        <v>3249</v>
      </c>
      <c r="N693" t="s">
        <v>33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34</v>
      </c>
      <c r="V693" t="s">
        <v>35</v>
      </c>
      <c r="W693">
        <f>IF(ISBLANK(Q693), 0, IFERROR(VALUE(Q693), 0.7))</f>
        <v>0.05</v>
      </c>
      <c r="X693">
        <f>D693 - C693</f>
        <v>1</v>
      </c>
      <c r="Y693">
        <f>O693 * P693 * (1 - W693)</f>
        <v>8767.1699999999983</v>
      </c>
      <c r="Z693">
        <f>Y693 - S693</f>
        <v>3668.9699999999984</v>
      </c>
      <c r="AA693">
        <f>IFERROR(Z693 / Y693, 0)</f>
        <v>0.41848966085977563</v>
      </c>
      <c r="AB693" t="str">
        <f>TEXT(C693, "mmmm")</f>
        <v>December</v>
      </c>
      <c r="AC693">
        <f>YEAR(C693)</f>
        <v>2024</v>
      </c>
      <c r="AD693" t="str">
        <f>IF(X693&lt;0, "Invalid: Ship Date Before Order Date", IF(W693&lt;0, "Invalid: Negative Discount", IF(W693&gt;0.5, "Invalid: Exceeds Allowed Discount", "OK")))</f>
        <v>OK</v>
      </c>
    </row>
    <row r="694" spans="1:30">
      <c r="A694" t="s">
        <v>3250</v>
      </c>
      <c r="B694" t="str">
        <f t="shared" si="10"/>
        <v>Unique</v>
      </c>
      <c r="C694" s="3">
        <v>45787</v>
      </c>
      <c r="D694" s="3">
        <v>45940</v>
      </c>
      <c r="E694" t="s">
        <v>3252</v>
      </c>
      <c r="F694" t="s">
        <v>53</v>
      </c>
      <c r="G694" t="s">
        <v>108</v>
      </c>
      <c r="H694" t="s">
        <v>62</v>
      </c>
      <c r="I694" t="s">
        <v>229</v>
      </c>
      <c r="J694" t="s">
        <v>230</v>
      </c>
      <c r="K694" t="s">
        <v>45</v>
      </c>
      <c r="L694" t="s">
        <v>65</v>
      </c>
      <c r="M694" t="s">
        <v>3253</v>
      </c>
      <c r="N694" t="s">
        <v>33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34</v>
      </c>
      <c r="V694" t="s">
        <v>35</v>
      </c>
      <c r="W694">
        <f>IF(ISBLANK(Q694), 0, IFERROR(VALUE(Q694), 0.7))</f>
        <v>0.1</v>
      </c>
      <c r="X694">
        <f>D694 - C694</f>
        <v>153</v>
      </c>
      <c r="Y694">
        <f>O694 * P694 * (1 - W694)</f>
        <v>8516.4480000000003</v>
      </c>
      <c r="Z694">
        <f>Y694 - S694</f>
        <v>2612.6379999999999</v>
      </c>
      <c r="AA694">
        <f>IFERROR(Z694 / Y694, 0)</f>
        <v>0.30677554774009069</v>
      </c>
      <c r="AB694" t="str">
        <f>TEXT(C694, "mmmm")</f>
        <v>May</v>
      </c>
      <c r="AC694">
        <f>YEAR(C694)</f>
        <v>2025</v>
      </c>
      <c r="AD694" t="str">
        <f>IF(X694&lt;0, "Invalid: Ship Date Before Order Date", IF(W694&lt;0, "Invalid: Negative Discount", IF(W694&gt;0.5, "Invalid: Exceeds Allowed Discount", "OK")))</f>
        <v>OK</v>
      </c>
    </row>
    <row r="695" spans="1:30">
      <c r="A695" t="s">
        <v>3254</v>
      </c>
      <c r="B695" t="str">
        <f t="shared" si="10"/>
        <v>Unique</v>
      </c>
      <c r="C695" s="3">
        <v>45720</v>
      </c>
      <c r="D695" s="3">
        <v>45758</v>
      </c>
      <c r="E695" t="s">
        <v>3256</v>
      </c>
      <c r="F695" t="s">
        <v>61</v>
      </c>
      <c r="G695" t="s">
        <v>26</v>
      </c>
      <c r="H695" t="s">
        <v>62</v>
      </c>
      <c r="I695" t="s">
        <v>339</v>
      </c>
      <c r="J695" t="s">
        <v>340</v>
      </c>
      <c r="K695" t="s">
        <v>45</v>
      </c>
      <c r="L695" t="s">
        <v>204</v>
      </c>
      <c r="M695" t="s">
        <v>3257</v>
      </c>
      <c r="N695" t="s">
        <v>33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34</v>
      </c>
      <c r="V695" t="s">
        <v>35</v>
      </c>
      <c r="W695">
        <f>IF(ISBLANK(Q695), 0, IFERROR(VALUE(Q695), 0.7))</f>
        <v>0.05</v>
      </c>
      <c r="X695">
        <f>D695 - C695</f>
        <v>38</v>
      </c>
      <c r="Y695">
        <f>O695 * P695 * (1 - W695)</f>
        <v>11826.844500000001</v>
      </c>
      <c r="Z695">
        <f>Y695 - S695</f>
        <v>3790.884500000001</v>
      </c>
      <c r="AA695">
        <f>IFERROR(Z695 / Y695, 0)</f>
        <v>0.32053220112938835</v>
      </c>
      <c r="AB695" t="str">
        <f>TEXT(C695, "mmmm")</f>
        <v>March</v>
      </c>
      <c r="AC695">
        <f>YEAR(C695)</f>
        <v>2025</v>
      </c>
      <c r="AD695" t="str">
        <f>IF(X695&lt;0, "Invalid: Ship Date Before Order Date", IF(W695&lt;0, "Invalid: Negative Discount", IF(W695&gt;0.5, "Invalid: Exceeds Allowed Discount", "OK")))</f>
        <v>OK</v>
      </c>
    </row>
    <row r="696" spans="1:30">
      <c r="A696" t="s">
        <v>3258</v>
      </c>
      <c r="B696" t="str">
        <f t="shared" si="10"/>
        <v>Unique</v>
      </c>
      <c r="C696" s="3">
        <v>45665</v>
      </c>
      <c r="D696" s="3">
        <v>45908</v>
      </c>
      <c r="E696" t="s">
        <v>1738</v>
      </c>
      <c r="F696" t="s">
        <v>53</v>
      </c>
      <c r="G696" t="s">
        <v>26</v>
      </c>
      <c r="H696" t="s">
        <v>62</v>
      </c>
      <c r="I696" t="s">
        <v>100</v>
      </c>
      <c r="J696" t="s">
        <v>101</v>
      </c>
      <c r="K696" t="s">
        <v>30</v>
      </c>
      <c r="L696" t="s">
        <v>156</v>
      </c>
      <c r="M696" t="s">
        <v>3259</v>
      </c>
      <c r="N696" t="s">
        <v>56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34</v>
      </c>
      <c r="V696" t="s">
        <v>35</v>
      </c>
      <c r="W696">
        <f>IF(ISBLANK(Q696), 0, IFERROR(VALUE(Q696), 0.7))</f>
        <v>0.15</v>
      </c>
      <c r="X696">
        <f>D696 - C696</f>
        <v>243</v>
      </c>
      <c r="Y696">
        <f>O696 * P696 * (1 - W696)</f>
        <v>11629.019999999999</v>
      </c>
      <c r="Z696">
        <f>Y696 - S696</f>
        <v>2001.8099999999995</v>
      </c>
      <c r="AA696">
        <f>IFERROR(Z696 / Y696, 0)</f>
        <v>0.17213918283741877</v>
      </c>
      <c r="AB696" t="str">
        <f>TEXT(C696, "mmmm")</f>
        <v>January</v>
      </c>
      <c r="AC696">
        <f>YEAR(C696)</f>
        <v>2025</v>
      </c>
      <c r="AD696" t="str">
        <f>IF(X696&lt;0, "Invalid: Ship Date Before Order Date", IF(W696&lt;0, "Invalid: Negative Discount", IF(W696&gt;0.5, "Invalid: Exceeds Allowed Discount", "OK")))</f>
        <v>OK</v>
      </c>
    </row>
    <row r="697" spans="1:30">
      <c r="A697" t="s">
        <v>3260</v>
      </c>
      <c r="B697" t="str">
        <f t="shared" si="10"/>
        <v>Unique</v>
      </c>
      <c r="C697" s="3">
        <v>45474</v>
      </c>
      <c r="D697" s="3">
        <v>45298</v>
      </c>
      <c r="E697" t="s">
        <v>3262</v>
      </c>
      <c r="F697" t="s">
        <v>162</v>
      </c>
      <c r="G697" t="s">
        <v>26</v>
      </c>
      <c r="H697" t="s">
        <v>73</v>
      </c>
      <c r="I697" t="s">
        <v>84</v>
      </c>
      <c r="J697" t="s">
        <v>85</v>
      </c>
      <c r="K697" t="s">
        <v>86</v>
      </c>
      <c r="L697" t="s">
        <v>382</v>
      </c>
      <c r="M697" t="s">
        <v>3263</v>
      </c>
      <c r="N697" t="s">
        <v>67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34</v>
      </c>
      <c r="V697" t="s">
        <v>35</v>
      </c>
      <c r="W697">
        <f>IF(ISBLANK(Q697), 0, IFERROR(VALUE(Q697), 0.7))</f>
        <v>0</v>
      </c>
      <c r="X697">
        <f>D697 - C697</f>
        <v>-176</v>
      </c>
      <c r="Y697">
        <f>O697 * P697 * (1 - W697)</f>
        <v>1029.56</v>
      </c>
      <c r="Z697">
        <f>Y697 - S697</f>
        <v>403.2299999999999</v>
      </c>
      <c r="AA697">
        <f>IFERROR(Z697 / Y697, 0)</f>
        <v>0.39165274486188267</v>
      </c>
      <c r="AB697" t="str">
        <f>TEXT(C697, "mmmm")</f>
        <v>July</v>
      </c>
      <c r="AC697">
        <f>YEAR(C697)</f>
        <v>2024</v>
      </c>
      <c r="AD697" t="str">
        <f>IF(X697&lt;0, "Invalid: Ship Date Before Order Date", IF(W697&lt;0, "Invalid: Negative Discount", IF(W697&gt;0.5, "Invalid: Exceeds Allowed Discount", "OK")))</f>
        <v>Invalid: Ship Date Before Order Date</v>
      </c>
    </row>
    <row r="698" spans="1:30">
      <c r="A698" t="s">
        <v>3264</v>
      </c>
      <c r="B698" t="str">
        <f t="shared" si="10"/>
        <v>Unique</v>
      </c>
      <c r="C698" s="3">
        <v>45922</v>
      </c>
      <c r="D698" s="3">
        <v>45925</v>
      </c>
      <c r="E698" t="s">
        <v>3267</v>
      </c>
      <c r="F698" t="s">
        <v>53</v>
      </c>
      <c r="G698" t="s">
        <v>41</v>
      </c>
      <c r="H698" t="s">
        <v>62</v>
      </c>
      <c r="I698" t="s">
        <v>242</v>
      </c>
      <c r="J698" t="s">
        <v>243</v>
      </c>
      <c r="K698" t="s">
        <v>86</v>
      </c>
      <c r="L698" t="s">
        <v>223</v>
      </c>
      <c r="M698" t="s">
        <v>3268</v>
      </c>
      <c r="N698" t="s">
        <v>4110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34</v>
      </c>
      <c r="V698" t="s">
        <v>35</v>
      </c>
      <c r="W698">
        <f>IF(ISBLANK(Q698), 0, IFERROR(VALUE(Q698), 0.7))</f>
        <v>0.25</v>
      </c>
      <c r="X698">
        <f>D698 - C698</f>
        <v>3</v>
      </c>
      <c r="Y698">
        <f>O698 * P698 * (1 - W698)</f>
        <v>3536.5199999999995</v>
      </c>
      <c r="Z698">
        <f>Y698 - S698</f>
        <v>1434.1099999999997</v>
      </c>
      <c r="AA698">
        <f>IFERROR(Z698 / Y698, 0)</f>
        <v>0.40551446054313278</v>
      </c>
      <c r="AB698" t="str">
        <f>TEXT(C698, "mmmm")</f>
        <v>September</v>
      </c>
      <c r="AC698">
        <f>YEAR(C698)</f>
        <v>2025</v>
      </c>
      <c r="AD698" t="str">
        <f>IF(X698&lt;0, "Invalid: Ship Date Before Order Date", IF(W698&lt;0, "Invalid: Negative Discount", IF(W698&gt;0.5, "Invalid: Exceeds Allowed Discount", "OK")))</f>
        <v>OK</v>
      </c>
    </row>
    <row r="699" spans="1:30">
      <c r="A699" t="s">
        <v>3269</v>
      </c>
      <c r="B699" t="str">
        <f t="shared" si="10"/>
        <v>Unique</v>
      </c>
      <c r="C699" s="3">
        <v>45717</v>
      </c>
      <c r="D699" s="3">
        <v>45841</v>
      </c>
      <c r="E699" t="s">
        <v>3270</v>
      </c>
      <c r="F699" t="s">
        <v>61</v>
      </c>
      <c r="G699" t="s">
        <v>108</v>
      </c>
      <c r="H699" t="s">
        <v>62</v>
      </c>
      <c r="I699" t="s">
        <v>100</v>
      </c>
      <c r="J699" t="s">
        <v>101</v>
      </c>
      <c r="K699" t="s">
        <v>30</v>
      </c>
      <c r="L699" t="s">
        <v>109</v>
      </c>
      <c r="M699" t="s">
        <v>3271</v>
      </c>
      <c r="N699" t="s">
        <v>56</v>
      </c>
      <c r="O699">
        <v>7</v>
      </c>
      <c r="P699">
        <v>567.15</v>
      </c>
      <c r="R699">
        <v>2977.54</v>
      </c>
      <c r="S699">
        <v>1849.3</v>
      </c>
      <c r="T699">
        <v>1128.24</v>
      </c>
      <c r="U699" t="s">
        <v>124</v>
      </c>
      <c r="V699" t="s">
        <v>125</v>
      </c>
      <c r="W699">
        <f>IF(ISBLANK(Q699), 0, IFERROR(VALUE(Q699), 0.7))</f>
        <v>0</v>
      </c>
      <c r="X699">
        <f>D699 - C699</f>
        <v>124</v>
      </c>
      <c r="Y699">
        <f>O699 * P699 * (1 - W699)</f>
        <v>3970.0499999999997</v>
      </c>
      <c r="Z699">
        <f>Y699 - S699</f>
        <v>2120.75</v>
      </c>
      <c r="AA699">
        <f>IFERROR(Z699 / Y699, 0)</f>
        <v>0.53418722686112274</v>
      </c>
      <c r="AB699" t="str">
        <f>TEXT(C699, "mmmm")</f>
        <v>March</v>
      </c>
      <c r="AC699">
        <f>YEAR(C699)</f>
        <v>2025</v>
      </c>
      <c r="AD699" t="str">
        <f>IF(X699&lt;0, "Invalid: Ship Date Before Order Date", IF(W699&lt;0, "Invalid: Negative Discount", IF(W699&gt;0.5, "Invalid: Exceeds Allowed Discount", "OK")))</f>
        <v>OK</v>
      </c>
    </row>
    <row r="700" spans="1:30">
      <c r="A700" t="s">
        <v>3272</v>
      </c>
      <c r="B700" t="str">
        <f t="shared" si="10"/>
        <v>Unique</v>
      </c>
      <c r="C700" s="3">
        <v>45549</v>
      </c>
      <c r="D700" s="3">
        <v>45549</v>
      </c>
      <c r="E700" t="s">
        <v>3274</v>
      </c>
      <c r="F700" t="s">
        <v>40</v>
      </c>
      <c r="G700" t="s">
        <v>108</v>
      </c>
      <c r="H700" t="s">
        <v>27</v>
      </c>
      <c r="I700" t="s">
        <v>28</v>
      </c>
      <c r="J700" t="s">
        <v>29</v>
      </c>
      <c r="K700" t="s">
        <v>86</v>
      </c>
      <c r="L700" t="s">
        <v>382</v>
      </c>
      <c r="M700" t="s">
        <v>3275</v>
      </c>
      <c r="N700" t="s">
        <v>67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34</v>
      </c>
      <c r="V700" t="s">
        <v>125</v>
      </c>
      <c r="W700">
        <f>IF(ISBLANK(Q700), 0, IFERROR(VALUE(Q700), 0.7))</f>
        <v>0.15</v>
      </c>
      <c r="X700">
        <f>D700 - C700</f>
        <v>0</v>
      </c>
      <c r="Y700">
        <f>O700 * P700 * (1 - W700)</f>
        <v>27755.287999999997</v>
      </c>
      <c r="Z700">
        <f>Y700 - S700</f>
        <v>4003.377999999997</v>
      </c>
      <c r="AA700">
        <f>IFERROR(Z700 / Y700, 0)</f>
        <v>0.14423838801456493</v>
      </c>
      <c r="AB700" t="str">
        <f>TEXT(C700, "mmmm")</f>
        <v>September</v>
      </c>
      <c r="AC700">
        <f>YEAR(C700)</f>
        <v>2024</v>
      </c>
      <c r="AD700" t="str">
        <f>IF(X700&lt;0, "Invalid: Ship Date Before Order Date", IF(W700&lt;0, "Invalid: Negative Discount", IF(W700&gt;0.5, "Invalid: Exceeds Allowed Discount", "OK")))</f>
        <v>OK</v>
      </c>
    </row>
    <row r="701" spans="1:30">
      <c r="A701" t="s">
        <v>3276</v>
      </c>
      <c r="B701" t="str">
        <f t="shared" si="10"/>
        <v>Unique</v>
      </c>
      <c r="C701" s="3">
        <v>45454</v>
      </c>
      <c r="D701" s="3">
        <v>45454</v>
      </c>
      <c r="E701" t="s">
        <v>3279</v>
      </c>
      <c r="F701" t="s">
        <v>61</v>
      </c>
      <c r="G701" t="s">
        <v>41</v>
      </c>
      <c r="H701" t="s">
        <v>62</v>
      </c>
      <c r="I701" t="s">
        <v>229</v>
      </c>
      <c r="J701" t="s">
        <v>230</v>
      </c>
      <c r="K701" t="s">
        <v>45</v>
      </c>
      <c r="L701" t="s">
        <v>204</v>
      </c>
      <c r="M701" t="s">
        <v>3280</v>
      </c>
      <c r="N701" t="s">
        <v>67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34</v>
      </c>
      <c r="V701" t="s">
        <v>35</v>
      </c>
      <c r="W701">
        <f>IF(ISBLANK(Q701), 0, IFERROR(VALUE(Q701), 0.7))</f>
        <v>0.25</v>
      </c>
      <c r="X701">
        <f>D701 - C701</f>
        <v>0</v>
      </c>
      <c r="Y701">
        <f>O701 * P701 * (1 - W701)</f>
        <v>9450.7425000000003</v>
      </c>
      <c r="Z701">
        <f>Y701 - S701</f>
        <v>1652.1824999999999</v>
      </c>
      <c r="AA701">
        <f>IFERROR(Z701 / Y701, 0)</f>
        <v>0.17482039109625511</v>
      </c>
      <c r="AB701" t="str">
        <f>TEXT(C701, "mmmm")</f>
        <v>June</v>
      </c>
      <c r="AC701">
        <f>YEAR(C701)</f>
        <v>2024</v>
      </c>
      <c r="AD701" t="str">
        <f>IF(X701&lt;0, "Invalid: Ship Date Before Order Date", IF(W701&lt;0, "Invalid: Negative Discount", IF(W701&gt;0.5, "Invalid: Exceeds Allowed Discount", "OK")))</f>
        <v>OK</v>
      </c>
    </row>
    <row r="702" spans="1:30">
      <c r="A702" t="s">
        <v>3281</v>
      </c>
      <c r="B702" t="str">
        <f t="shared" si="10"/>
        <v>Unique</v>
      </c>
      <c r="C702" s="3">
        <v>45553</v>
      </c>
      <c r="D702" s="3">
        <v>45556</v>
      </c>
      <c r="E702" t="s">
        <v>3283</v>
      </c>
      <c r="F702" t="s">
        <v>93</v>
      </c>
      <c r="G702" t="s">
        <v>108</v>
      </c>
      <c r="H702" t="s">
        <v>42</v>
      </c>
      <c r="I702" t="s">
        <v>121</v>
      </c>
      <c r="J702" t="s">
        <v>122</v>
      </c>
      <c r="K702" t="s">
        <v>86</v>
      </c>
      <c r="L702" t="s">
        <v>382</v>
      </c>
      <c r="M702" t="s">
        <v>3284</v>
      </c>
      <c r="N702" t="s">
        <v>67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34</v>
      </c>
      <c r="V702" t="s">
        <v>35</v>
      </c>
      <c r="W702">
        <f>IF(ISBLANK(Q702), 0, IFERROR(VALUE(Q702), 0.7))</f>
        <v>0.15</v>
      </c>
      <c r="X702">
        <f>D702 - C702</f>
        <v>3</v>
      </c>
      <c r="Y702">
        <f>O702 * P702 * (1 - W702)</f>
        <v>7792.5450000000001</v>
      </c>
      <c r="Z702">
        <f>Y702 - S702</f>
        <v>3100.8150000000005</v>
      </c>
      <c r="AA702">
        <f>IFERROR(Z702 / Y702, 0)</f>
        <v>0.39792070498149201</v>
      </c>
      <c r="AB702" t="str">
        <f>TEXT(C702, "mmmm")</f>
        <v>September</v>
      </c>
      <c r="AC702">
        <f>YEAR(C702)</f>
        <v>2024</v>
      </c>
      <c r="AD702" t="str">
        <f>IF(X702&lt;0, "Invalid: Ship Date Before Order Date", IF(W702&lt;0, "Invalid: Negative Discount", IF(W702&gt;0.5, "Invalid: Exceeds Allowed Discount", "OK")))</f>
        <v>OK</v>
      </c>
    </row>
    <row r="703" spans="1:30">
      <c r="A703" t="s">
        <v>3285</v>
      </c>
      <c r="B703" t="str">
        <f t="shared" si="10"/>
        <v>Unique</v>
      </c>
      <c r="C703" s="3">
        <v>45412</v>
      </c>
      <c r="D703" s="3">
        <v>45416</v>
      </c>
      <c r="E703" t="s">
        <v>3286</v>
      </c>
      <c r="F703" t="s">
        <v>180</v>
      </c>
      <c r="G703" t="s">
        <v>41</v>
      </c>
      <c r="H703" t="s">
        <v>73</v>
      </c>
      <c r="I703" t="s">
        <v>235</v>
      </c>
      <c r="J703" t="s">
        <v>236</v>
      </c>
      <c r="K703" t="s">
        <v>30</v>
      </c>
      <c r="L703" t="s">
        <v>54</v>
      </c>
      <c r="M703" t="s">
        <v>3287</v>
      </c>
      <c r="N703" t="s">
        <v>48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34</v>
      </c>
      <c r="V703" t="s">
        <v>125</v>
      </c>
      <c r="W703">
        <f>IF(ISBLANK(Q703), 0, IFERROR(VALUE(Q703), 0.7))</f>
        <v>0</v>
      </c>
      <c r="X703">
        <f>D703 - C703</f>
        <v>4</v>
      </c>
      <c r="Y703">
        <f>O703 * P703 * (1 - W703)</f>
        <v>8574.58</v>
      </c>
      <c r="Z703">
        <f>Y703 - S703</f>
        <v>1888.7699999999995</v>
      </c>
      <c r="AA703">
        <f>IFERROR(Z703 / Y703, 0)</f>
        <v>0.22027551203674112</v>
      </c>
      <c r="AB703" t="str">
        <f>TEXT(C703, "mmmm")</f>
        <v>April</v>
      </c>
      <c r="AC703">
        <f>YEAR(C703)</f>
        <v>2024</v>
      </c>
      <c r="AD703" t="str">
        <f>IF(X703&lt;0, "Invalid: Ship Date Before Order Date", IF(W703&lt;0, "Invalid: Negative Discount", IF(W703&gt;0.5, "Invalid: Exceeds Allowed Discount", "OK")))</f>
        <v>OK</v>
      </c>
    </row>
    <row r="704" spans="1:30">
      <c r="A704" t="s">
        <v>3288</v>
      </c>
      <c r="B704" t="str">
        <f t="shared" si="10"/>
        <v>Unique</v>
      </c>
      <c r="C704" s="3">
        <v>45690</v>
      </c>
      <c r="D704" s="3">
        <v>45694</v>
      </c>
      <c r="E704" t="s">
        <v>3290</v>
      </c>
      <c r="F704" t="s">
        <v>25</v>
      </c>
      <c r="G704" t="s">
        <v>41</v>
      </c>
      <c r="H704" t="s">
        <v>73</v>
      </c>
      <c r="I704" t="s">
        <v>28</v>
      </c>
      <c r="J704" t="s">
        <v>135</v>
      </c>
      <c r="K704" t="s">
        <v>45</v>
      </c>
      <c r="L704" t="s">
        <v>46</v>
      </c>
      <c r="M704" t="s">
        <v>3291</v>
      </c>
      <c r="N704" t="s">
        <v>33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34</v>
      </c>
      <c r="V704" t="s">
        <v>35</v>
      </c>
      <c r="W704">
        <f>IF(ISBLANK(Q704), 0, IFERROR(VALUE(Q704), 0.7))</f>
        <v>0.1</v>
      </c>
      <c r="X704">
        <f>D704 - C704</f>
        <v>4</v>
      </c>
      <c r="Y704">
        <f>O704 * P704 * (1 - W704)</f>
        <v>2692.8180000000002</v>
      </c>
      <c r="Z704">
        <f>Y704 - S704</f>
        <v>872.73800000000028</v>
      </c>
      <c r="AA704">
        <f>IFERROR(Z704 / Y704, 0)</f>
        <v>0.32409839803506968</v>
      </c>
      <c r="AB704" t="str">
        <f>TEXT(C704, "mmmm")</f>
        <v>February</v>
      </c>
      <c r="AC704">
        <f>YEAR(C704)</f>
        <v>2025</v>
      </c>
      <c r="AD704" t="str">
        <f>IF(X704&lt;0, "Invalid: Ship Date Before Order Date", IF(W704&lt;0, "Invalid: Negative Discount", IF(W704&gt;0.5, "Invalid: Exceeds Allowed Discount", "OK")))</f>
        <v>OK</v>
      </c>
    </row>
    <row r="705" spans="1:30">
      <c r="A705" t="s">
        <v>3292</v>
      </c>
      <c r="B705" t="str">
        <f t="shared" si="10"/>
        <v>Unique</v>
      </c>
      <c r="C705" s="3">
        <v>45584</v>
      </c>
      <c r="D705" s="3">
        <v>45585</v>
      </c>
      <c r="E705" t="s">
        <v>3294</v>
      </c>
      <c r="F705" t="s">
        <v>107</v>
      </c>
      <c r="G705" t="s">
        <v>108</v>
      </c>
      <c r="H705" t="s">
        <v>27</v>
      </c>
      <c r="I705" t="s">
        <v>28</v>
      </c>
      <c r="J705" t="s">
        <v>29</v>
      </c>
      <c r="K705" t="s">
        <v>45</v>
      </c>
      <c r="L705" t="s">
        <v>46</v>
      </c>
      <c r="M705" t="s">
        <v>3295</v>
      </c>
      <c r="N705" t="s">
        <v>56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34</v>
      </c>
      <c r="V705" t="s">
        <v>35</v>
      </c>
      <c r="W705">
        <f>IF(ISBLANK(Q705), 0, IFERROR(VALUE(Q705), 0.7))</f>
        <v>0.1</v>
      </c>
      <c r="X705">
        <f>D705 - C705</f>
        <v>1</v>
      </c>
      <c r="Y705">
        <f>O705 * P705 * (1 - W705)</f>
        <v>1035.027</v>
      </c>
      <c r="Z705">
        <f>Y705 - S705</f>
        <v>180.67700000000002</v>
      </c>
      <c r="AA705">
        <f>IFERROR(Z705 / Y705, 0)</f>
        <v>0.1745625959516032</v>
      </c>
      <c r="AB705" t="str">
        <f>TEXT(C705, "mmmm")</f>
        <v>October</v>
      </c>
      <c r="AC705">
        <f>YEAR(C705)</f>
        <v>2024</v>
      </c>
      <c r="AD705" t="str">
        <f>IF(X705&lt;0, "Invalid: Ship Date Before Order Date", IF(W705&lt;0, "Invalid: Negative Discount", IF(W705&gt;0.5, "Invalid: Exceeds Allowed Discount", "OK")))</f>
        <v>OK</v>
      </c>
    </row>
    <row r="706" spans="1:30">
      <c r="A706" t="s">
        <v>3296</v>
      </c>
      <c r="B706" t="str">
        <f t="shared" si="10"/>
        <v>Unique</v>
      </c>
      <c r="C706" s="3">
        <v>45364</v>
      </c>
      <c r="D706" s="3">
        <v>45371</v>
      </c>
      <c r="E706" t="s">
        <v>3298</v>
      </c>
      <c r="F706" t="s">
        <v>142</v>
      </c>
      <c r="G706" t="s">
        <v>115</v>
      </c>
      <c r="H706" t="s">
        <v>62</v>
      </c>
      <c r="I706" t="s">
        <v>339</v>
      </c>
      <c r="J706" t="s">
        <v>340</v>
      </c>
      <c r="K706" t="s">
        <v>45</v>
      </c>
      <c r="L706" t="s">
        <v>204</v>
      </c>
      <c r="M706" t="s">
        <v>3299</v>
      </c>
      <c r="N706" t="s">
        <v>4110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34</v>
      </c>
      <c r="V706" t="s">
        <v>35</v>
      </c>
      <c r="W706">
        <f>IF(ISBLANK(Q706), 0, IFERROR(VALUE(Q706), 0.7))</f>
        <v>0.15</v>
      </c>
      <c r="X706">
        <f>D706 - C706</f>
        <v>7</v>
      </c>
      <c r="Y706">
        <f>O706 * P706 * (1 - W706)</f>
        <v>2401.7855</v>
      </c>
      <c r="Z706">
        <f>Y706 - S706</f>
        <v>581.44550000000004</v>
      </c>
      <c r="AA706">
        <f>IFERROR(Z706 / Y706, 0)</f>
        <v>0.24208885431276025</v>
      </c>
      <c r="AB706" t="str">
        <f>TEXT(C706, "mmmm")</f>
        <v>March</v>
      </c>
      <c r="AC706">
        <f>YEAR(C706)</f>
        <v>2024</v>
      </c>
      <c r="AD706" t="str">
        <f>IF(X706&lt;0, "Invalid: Ship Date Before Order Date", IF(W706&lt;0, "Invalid: Negative Discount", IF(W706&gt;0.5, "Invalid: Exceeds Allowed Discount", "OK")))</f>
        <v>OK</v>
      </c>
    </row>
    <row r="707" spans="1:30">
      <c r="A707" t="s">
        <v>3300</v>
      </c>
      <c r="B707" t="str">
        <f t="shared" ref="B707:B770" si="11">IF(COUNTIF(A:A, A707)&gt;1, "Review: Duplicate Order ID", "Unique")</f>
        <v>Unique</v>
      </c>
      <c r="C707" s="3">
        <v>45543</v>
      </c>
      <c r="D707" s="3">
        <v>45549</v>
      </c>
      <c r="E707" t="s">
        <v>3303</v>
      </c>
      <c r="F707" t="s">
        <v>180</v>
      </c>
      <c r="G707" t="s">
        <v>26</v>
      </c>
      <c r="H707" t="s">
        <v>27</v>
      </c>
      <c r="I707" t="s">
        <v>28</v>
      </c>
      <c r="J707" t="s">
        <v>29</v>
      </c>
      <c r="K707" t="s">
        <v>30</v>
      </c>
      <c r="L707" t="s">
        <v>198</v>
      </c>
      <c r="M707" t="s">
        <v>3304</v>
      </c>
      <c r="N707" t="s">
        <v>67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34</v>
      </c>
      <c r="V707" t="s">
        <v>35</v>
      </c>
      <c r="W707">
        <f>IF(ISBLANK(Q707), 0, IFERROR(VALUE(Q707), 0.7))</f>
        <v>0.05</v>
      </c>
      <c r="X707">
        <f>D707 - C707</f>
        <v>6</v>
      </c>
      <c r="Y707">
        <f>O707 * P707 * (1 - W707)</f>
        <v>16015.8125</v>
      </c>
      <c r="Z707">
        <f>Y707 - S707</f>
        <v>4663.4325000000008</v>
      </c>
      <c r="AA707">
        <f>IFERROR(Z707 / Y707, 0)</f>
        <v>0.29117676671102394</v>
      </c>
      <c r="AB707" t="str">
        <f>TEXT(C707, "mmmm")</f>
        <v>September</v>
      </c>
      <c r="AC707">
        <f>YEAR(C707)</f>
        <v>2024</v>
      </c>
      <c r="AD707" t="str">
        <f>IF(X707&lt;0, "Invalid: Ship Date Before Order Date", IF(W707&lt;0, "Invalid: Negative Discount", IF(W707&gt;0.5, "Invalid: Exceeds Allowed Discount", "OK")))</f>
        <v>OK</v>
      </c>
    </row>
    <row r="708" spans="1:30">
      <c r="A708" t="s">
        <v>3305</v>
      </c>
      <c r="B708" t="str">
        <f t="shared" si="11"/>
        <v>Unique</v>
      </c>
      <c r="C708" s="3">
        <v>45467</v>
      </c>
      <c r="D708" s="3">
        <v>45471</v>
      </c>
      <c r="E708" t="s">
        <v>3307</v>
      </c>
      <c r="F708" t="s">
        <v>53</v>
      </c>
      <c r="G708" t="s">
        <v>41</v>
      </c>
      <c r="H708" t="s">
        <v>42</v>
      </c>
      <c r="I708" t="s">
        <v>43</v>
      </c>
      <c r="J708" t="s">
        <v>44</v>
      </c>
      <c r="K708" t="s">
        <v>30</v>
      </c>
      <c r="L708" t="s">
        <v>31</v>
      </c>
      <c r="M708" t="s">
        <v>3308</v>
      </c>
      <c r="N708" t="s">
        <v>48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34</v>
      </c>
      <c r="V708" t="s">
        <v>35</v>
      </c>
      <c r="W708">
        <f>IF(ISBLANK(Q708), 0, IFERROR(VALUE(Q708), 0.7))</f>
        <v>0.1</v>
      </c>
      <c r="X708">
        <f>D708 - C708</f>
        <v>4</v>
      </c>
      <c r="Y708">
        <f>O708 * P708 * (1 - W708)</f>
        <v>1901.4750000000001</v>
      </c>
      <c r="Z708">
        <f>Y708 - S708</f>
        <v>547.19500000000016</v>
      </c>
      <c r="AA708">
        <f>IFERROR(Z708 / Y708, 0)</f>
        <v>0.28777396494826391</v>
      </c>
      <c r="AB708" t="str">
        <f>TEXT(C708, "mmmm")</f>
        <v>June</v>
      </c>
      <c r="AC708">
        <f>YEAR(C708)</f>
        <v>2024</v>
      </c>
      <c r="AD708" t="str">
        <f>IF(X708&lt;0, "Invalid: Ship Date Before Order Date", IF(W708&lt;0, "Invalid: Negative Discount", IF(W708&gt;0.5, "Invalid: Exceeds Allowed Discount", "OK")))</f>
        <v>OK</v>
      </c>
    </row>
    <row r="709" spans="1:30">
      <c r="A709" t="s">
        <v>3309</v>
      </c>
      <c r="B709" t="str">
        <f t="shared" si="11"/>
        <v>Unique</v>
      </c>
      <c r="C709" s="3">
        <v>45832</v>
      </c>
      <c r="D709" s="3">
        <v>45834</v>
      </c>
      <c r="E709" t="s">
        <v>3311</v>
      </c>
      <c r="F709" t="s">
        <v>83</v>
      </c>
      <c r="G709" t="s">
        <v>26</v>
      </c>
      <c r="H709" t="s">
        <v>27</v>
      </c>
      <c r="I709" t="s">
        <v>28</v>
      </c>
      <c r="J709" t="s">
        <v>29</v>
      </c>
      <c r="K709" t="s">
        <v>86</v>
      </c>
      <c r="L709" t="s">
        <v>87</v>
      </c>
      <c r="M709" t="s">
        <v>3312</v>
      </c>
      <c r="N709" t="s">
        <v>48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34</v>
      </c>
      <c r="V709" t="s">
        <v>35</v>
      </c>
      <c r="W709">
        <f>IF(ISBLANK(Q709), 0, IFERROR(VALUE(Q709), 0.7))</f>
        <v>0.55000000000000004</v>
      </c>
      <c r="X709">
        <f>D709 - C709</f>
        <v>2</v>
      </c>
      <c r="Y709">
        <f>O709 * P709 * (1 - W709)</f>
        <v>8375.9849999999988</v>
      </c>
      <c r="Z709">
        <f>Y709 - S709</f>
        <v>-3302.3350000000009</v>
      </c>
      <c r="AA709">
        <f>IFERROR(Z709 / Y709, 0)</f>
        <v>-0.39426228676388525</v>
      </c>
      <c r="AB709" t="str">
        <f>TEXT(C709, "mmmm")</f>
        <v>June</v>
      </c>
      <c r="AC709">
        <f>YEAR(C709)</f>
        <v>2025</v>
      </c>
      <c r="AD709" t="str">
        <f>IF(X709&lt;0, "Invalid: Ship Date Before Order Date", IF(W709&lt;0, "Invalid: Negative Discount", IF(W709&gt;0.5, "Invalid: Exceeds Allowed Discount", "OK")))</f>
        <v>Invalid: Exceeds Allowed Discount</v>
      </c>
    </row>
    <row r="710" spans="1:30">
      <c r="A710" t="s">
        <v>3313</v>
      </c>
      <c r="B710" t="str">
        <f t="shared" si="11"/>
        <v>Unique</v>
      </c>
      <c r="C710" s="3">
        <v>45736</v>
      </c>
      <c r="D710" s="3">
        <v>45742</v>
      </c>
      <c r="E710" t="s">
        <v>3316</v>
      </c>
      <c r="F710" t="s">
        <v>168</v>
      </c>
      <c r="G710" t="s">
        <v>26</v>
      </c>
      <c r="H710" t="s">
        <v>42</v>
      </c>
      <c r="I710" t="s">
        <v>216</v>
      </c>
      <c r="J710" t="s">
        <v>217</v>
      </c>
      <c r="K710" t="s">
        <v>45</v>
      </c>
      <c r="L710" t="s">
        <v>204</v>
      </c>
      <c r="M710" t="s">
        <v>3317</v>
      </c>
      <c r="N710" t="s">
        <v>56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34</v>
      </c>
      <c r="V710" t="s">
        <v>35</v>
      </c>
      <c r="W710">
        <f>IF(ISBLANK(Q710), 0, IFERROR(VALUE(Q710), 0.7))</f>
        <v>0.05</v>
      </c>
      <c r="X710">
        <f>D710 - C710</f>
        <v>6</v>
      </c>
      <c r="Y710">
        <f>O710 * P710 * (1 - W710)</f>
        <v>16559.108</v>
      </c>
      <c r="Z710">
        <f>Y710 - S710</f>
        <v>3325.3179999999993</v>
      </c>
      <c r="AA710">
        <f>IFERROR(Z710 / Y710, 0)</f>
        <v>0.20081504390212318</v>
      </c>
      <c r="AB710" t="str">
        <f>TEXT(C710, "mmmm")</f>
        <v>March</v>
      </c>
      <c r="AC710">
        <f>YEAR(C710)</f>
        <v>2025</v>
      </c>
      <c r="AD710" t="str">
        <f>IF(X710&lt;0, "Invalid: Ship Date Before Order Date", IF(W710&lt;0, "Invalid: Negative Discount", IF(W710&gt;0.5, "Invalid: Exceeds Allowed Discount", "OK")))</f>
        <v>OK</v>
      </c>
    </row>
    <row r="711" spans="1:30">
      <c r="A711" t="s">
        <v>3318</v>
      </c>
      <c r="B711" t="str">
        <f t="shared" si="11"/>
        <v>Unique</v>
      </c>
      <c r="C711" s="3">
        <v>45676</v>
      </c>
      <c r="D711" s="3">
        <v>45680</v>
      </c>
      <c r="E711" t="s">
        <v>3319</v>
      </c>
      <c r="F711" t="s">
        <v>366</v>
      </c>
      <c r="G711" t="s">
        <v>115</v>
      </c>
      <c r="H711" t="s">
        <v>27</v>
      </c>
      <c r="I711" t="s">
        <v>154</v>
      </c>
      <c r="J711" t="s">
        <v>155</v>
      </c>
      <c r="K711" t="s">
        <v>86</v>
      </c>
      <c r="L711" t="s">
        <v>223</v>
      </c>
      <c r="M711" t="s">
        <v>3320</v>
      </c>
      <c r="N711" t="s">
        <v>48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34</v>
      </c>
      <c r="V711" t="s">
        <v>78</v>
      </c>
      <c r="W711">
        <f>IF(ISBLANK(Q711), 0, IFERROR(VALUE(Q711), 0.7))</f>
        <v>0.15</v>
      </c>
      <c r="X711">
        <f>D711 - C711</f>
        <v>4</v>
      </c>
      <c r="Y711">
        <f>O711 * P711 * (1 - W711)</f>
        <v>8110.0879999999988</v>
      </c>
      <c r="Z711">
        <f>Y711 - S711</f>
        <v>1692.7679999999991</v>
      </c>
      <c r="AA711">
        <f>IFERROR(Z711 / Y711, 0)</f>
        <v>0.2087237524426368</v>
      </c>
      <c r="AB711" t="str">
        <f>TEXT(C711, "mmmm")</f>
        <v>January</v>
      </c>
      <c r="AC711">
        <f>YEAR(C711)</f>
        <v>2025</v>
      </c>
      <c r="AD711" t="str">
        <f>IF(X711&lt;0, "Invalid: Ship Date Before Order Date", IF(W711&lt;0, "Invalid: Negative Discount", IF(W711&gt;0.5, "Invalid: Exceeds Allowed Discount", "OK")))</f>
        <v>OK</v>
      </c>
    </row>
    <row r="712" spans="1:30">
      <c r="A712" t="s">
        <v>3321</v>
      </c>
      <c r="B712" t="str">
        <f t="shared" si="11"/>
        <v>Unique</v>
      </c>
      <c r="C712" s="3">
        <v>45485</v>
      </c>
      <c r="D712" s="3">
        <v>45492</v>
      </c>
      <c r="E712" t="s">
        <v>3324</v>
      </c>
      <c r="F712" t="s">
        <v>83</v>
      </c>
      <c r="G712" t="s">
        <v>108</v>
      </c>
      <c r="H712" t="s">
        <v>27</v>
      </c>
      <c r="I712" t="s">
        <v>154</v>
      </c>
      <c r="J712" t="s">
        <v>155</v>
      </c>
      <c r="K712" t="s">
        <v>30</v>
      </c>
      <c r="L712" t="s">
        <v>54</v>
      </c>
      <c r="M712" t="s">
        <v>3325</v>
      </c>
      <c r="N712" t="s">
        <v>33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34</v>
      </c>
      <c r="V712" t="s">
        <v>35</v>
      </c>
      <c r="W712">
        <f>IF(ISBLANK(Q712), 0, IFERROR(VALUE(Q712), 0.7))</f>
        <v>0.05</v>
      </c>
      <c r="X712">
        <f>D712 - C712</f>
        <v>7</v>
      </c>
      <c r="Y712">
        <f>O712 * P712 * (1 - W712)</f>
        <v>7406.01</v>
      </c>
      <c r="Z712">
        <f>Y712 - S712</f>
        <v>1464.2700000000004</v>
      </c>
      <c r="AA712">
        <f>IFERROR(Z712 / Y712, 0)</f>
        <v>0.19771374869869207</v>
      </c>
      <c r="AB712" t="str">
        <f>TEXT(C712, "mmmm")</f>
        <v>July</v>
      </c>
      <c r="AC712">
        <f>YEAR(C712)</f>
        <v>2024</v>
      </c>
      <c r="AD712" t="str">
        <f>IF(X712&lt;0, "Invalid: Ship Date Before Order Date", IF(W712&lt;0, "Invalid: Negative Discount", IF(W712&gt;0.5, "Invalid: Exceeds Allowed Discount", "OK")))</f>
        <v>OK</v>
      </c>
    </row>
    <row r="713" spans="1:30">
      <c r="A713" t="s">
        <v>3326</v>
      </c>
      <c r="B713" t="str">
        <f t="shared" si="11"/>
        <v>Unique</v>
      </c>
      <c r="C713" s="3">
        <v>45690</v>
      </c>
      <c r="D713" s="3">
        <v>45690</v>
      </c>
      <c r="E713" t="s">
        <v>3328</v>
      </c>
      <c r="F713" t="s">
        <v>366</v>
      </c>
      <c r="G713" t="s">
        <v>108</v>
      </c>
      <c r="H713" t="s">
        <v>42</v>
      </c>
      <c r="I713" t="s">
        <v>121</v>
      </c>
      <c r="J713" t="s">
        <v>122</v>
      </c>
      <c r="K713" t="s">
        <v>86</v>
      </c>
      <c r="L713" t="s">
        <v>382</v>
      </c>
      <c r="M713" t="s">
        <v>3329</v>
      </c>
      <c r="N713" t="s">
        <v>56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137</v>
      </c>
      <c r="V713" t="s">
        <v>125</v>
      </c>
      <c r="W713">
        <f>IF(ISBLANK(Q713), 0, IFERROR(VALUE(Q713), 0.7))</f>
        <v>0.05</v>
      </c>
      <c r="X713">
        <f>D713 - C713</f>
        <v>0</v>
      </c>
      <c r="Y713">
        <f>O713 * P713 * (1 - W713)</f>
        <v>4110.4124999999995</v>
      </c>
      <c r="Z713">
        <f>Y713 - S713</f>
        <v>1716.2724999999996</v>
      </c>
      <c r="AA713">
        <f>IFERROR(Z713 / Y713, 0)</f>
        <v>0.41754264322619683</v>
      </c>
      <c r="AB713" t="str">
        <f>TEXT(C713, "mmmm")</f>
        <v>February</v>
      </c>
      <c r="AC713">
        <f>YEAR(C713)</f>
        <v>2025</v>
      </c>
      <c r="AD713" t="str">
        <f>IF(X713&lt;0, "Invalid: Ship Date Before Order Date", IF(W713&lt;0, "Invalid: Negative Discount", IF(W713&gt;0.5, "Invalid: Exceeds Allowed Discount", "OK")))</f>
        <v>OK</v>
      </c>
    </row>
    <row r="714" spans="1:30">
      <c r="A714" t="s">
        <v>3330</v>
      </c>
      <c r="B714" t="str">
        <f t="shared" si="11"/>
        <v>Unique</v>
      </c>
      <c r="C714" s="3">
        <v>45332</v>
      </c>
      <c r="D714" s="3">
        <v>45340</v>
      </c>
      <c r="E714" t="s">
        <v>3332</v>
      </c>
      <c r="F714" t="s">
        <v>53</v>
      </c>
      <c r="G714" t="s">
        <v>115</v>
      </c>
      <c r="H714" t="s">
        <v>73</v>
      </c>
      <c r="I714" t="s">
        <v>84</v>
      </c>
      <c r="J714" t="s">
        <v>85</v>
      </c>
      <c r="K714" t="s">
        <v>45</v>
      </c>
      <c r="L714" t="s">
        <v>76</v>
      </c>
      <c r="M714" t="s">
        <v>3333</v>
      </c>
      <c r="N714" t="s">
        <v>56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34</v>
      </c>
      <c r="V714" t="s">
        <v>35</v>
      </c>
      <c r="W714">
        <f>IF(ISBLANK(Q714), 0, IFERROR(VALUE(Q714), 0.7))</f>
        <v>0</v>
      </c>
      <c r="X714">
        <f>D714 - C714</f>
        <v>8</v>
      </c>
      <c r="Y714">
        <f>O714 * P714 * (1 - W714)</f>
        <v>9680.0199999999986</v>
      </c>
      <c r="Z714">
        <f>Y714 - S714</f>
        <v>2803.3599999999988</v>
      </c>
      <c r="AA714">
        <f>IFERROR(Z714 / Y714, 0)</f>
        <v>0.28960270743242256</v>
      </c>
      <c r="AB714" t="str">
        <f>TEXT(C714, "mmmm")</f>
        <v>February</v>
      </c>
      <c r="AC714">
        <f>YEAR(C714)</f>
        <v>2024</v>
      </c>
      <c r="AD714" t="str">
        <f>IF(X714&lt;0, "Invalid: Ship Date Before Order Date", IF(W714&lt;0, "Invalid: Negative Discount", IF(W714&gt;0.5, "Invalid: Exceeds Allowed Discount", "OK")))</f>
        <v>OK</v>
      </c>
    </row>
    <row r="715" spans="1:30">
      <c r="A715" t="s">
        <v>3334</v>
      </c>
      <c r="B715" t="str">
        <f t="shared" si="11"/>
        <v>Unique</v>
      </c>
      <c r="C715" s="3">
        <v>45814</v>
      </c>
      <c r="D715" s="3">
        <v>45818</v>
      </c>
      <c r="E715" t="s">
        <v>903</v>
      </c>
      <c r="F715" t="s">
        <v>40</v>
      </c>
      <c r="G715" t="s">
        <v>26</v>
      </c>
      <c r="H715" t="s">
        <v>73</v>
      </c>
      <c r="I715" t="s">
        <v>28</v>
      </c>
      <c r="J715" t="s">
        <v>135</v>
      </c>
      <c r="K715" t="s">
        <v>86</v>
      </c>
      <c r="L715" t="s">
        <v>382</v>
      </c>
      <c r="M715" t="s">
        <v>3336</v>
      </c>
      <c r="N715" t="s">
        <v>33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34</v>
      </c>
      <c r="V715" t="s">
        <v>35</v>
      </c>
      <c r="W715">
        <f>IF(ISBLANK(Q715), 0, IFERROR(VALUE(Q715), 0.7))</f>
        <v>0.25</v>
      </c>
      <c r="X715">
        <f>D715 - C715</f>
        <v>4</v>
      </c>
      <c r="Y715">
        <f>O715 * P715 * (1 - W715)</f>
        <v>217.47750000000002</v>
      </c>
      <c r="Z715">
        <f>Y715 - S715</f>
        <v>85.347500000000025</v>
      </c>
      <c r="AA715">
        <f>IFERROR(Z715 / Y715, 0)</f>
        <v>0.39244289639158081</v>
      </c>
      <c r="AB715" t="str">
        <f>TEXT(C715, "mmmm")</f>
        <v>June</v>
      </c>
      <c r="AC715">
        <f>YEAR(C715)</f>
        <v>2025</v>
      </c>
      <c r="AD715" t="str">
        <f>IF(X715&lt;0, "Invalid: Ship Date Before Order Date", IF(W715&lt;0, "Invalid: Negative Discount", IF(W715&gt;0.5, "Invalid: Exceeds Allowed Discount", "OK")))</f>
        <v>OK</v>
      </c>
    </row>
    <row r="716" spans="1:30">
      <c r="A716" t="s">
        <v>3337</v>
      </c>
      <c r="B716" t="str">
        <f t="shared" si="11"/>
        <v>Unique</v>
      </c>
      <c r="C716" s="3">
        <v>45738</v>
      </c>
      <c r="D716" s="3">
        <v>45739</v>
      </c>
      <c r="E716" t="s">
        <v>3338</v>
      </c>
      <c r="F716" t="s">
        <v>25</v>
      </c>
      <c r="G716" t="s">
        <v>115</v>
      </c>
      <c r="H716" t="s">
        <v>27</v>
      </c>
      <c r="I716" t="s">
        <v>506</v>
      </c>
      <c r="J716" t="s">
        <v>507</v>
      </c>
      <c r="K716" t="s">
        <v>86</v>
      </c>
      <c r="L716" t="s">
        <v>94</v>
      </c>
      <c r="M716" t="s">
        <v>3339</v>
      </c>
      <c r="N716" t="s">
        <v>67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34</v>
      </c>
      <c r="V716" t="s">
        <v>35</v>
      </c>
      <c r="W716">
        <f>IF(ISBLANK(Q716), 0, IFERROR(VALUE(Q716), 0.7))</f>
        <v>0</v>
      </c>
      <c r="X716">
        <f>D716 - C716</f>
        <v>1</v>
      </c>
      <c r="Y716">
        <f>O716 * P716 * (1 - W716)</f>
        <v>18675.18</v>
      </c>
      <c r="Z716">
        <f>Y716 - S716</f>
        <v>4700.4799999999996</v>
      </c>
      <c r="AA716">
        <f>IFERROR(Z716 / Y716, 0)</f>
        <v>0.25169663692665878</v>
      </c>
      <c r="AB716" t="str">
        <f>TEXT(C716, "mmmm")</f>
        <v>March</v>
      </c>
      <c r="AC716">
        <f>YEAR(C716)</f>
        <v>2025</v>
      </c>
      <c r="AD716" t="str">
        <f>IF(X716&lt;0, "Invalid: Ship Date Before Order Date", IF(W716&lt;0, "Invalid: Negative Discount", IF(W716&gt;0.5, "Invalid: Exceeds Allowed Discount", "OK")))</f>
        <v>OK</v>
      </c>
    </row>
    <row r="717" spans="1:30">
      <c r="A717" t="s">
        <v>3340</v>
      </c>
      <c r="B717" t="str">
        <f t="shared" si="11"/>
        <v>Unique</v>
      </c>
      <c r="C717" s="3">
        <v>45891</v>
      </c>
      <c r="D717" s="3">
        <v>45896</v>
      </c>
      <c r="E717" t="s">
        <v>3341</v>
      </c>
      <c r="F717" t="s">
        <v>142</v>
      </c>
      <c r="G717" t="s">
        <v>26</v>
      </c>
      <c r="H717" t="s">
        <v>27</v>
      </c>
      <c r="I717" t="s">
        <v>323</v>
      </c>
      <c r="J717" t="s">
        <v>324</v>
      </c>
      <c r="K717" t="s">
        <v>45</v>
      </c>
      <c r="L717" t="s">
        <v>76</v>
      </c>
      <c r="M717" t="s">
        <v>3342</v>
      </c>
      <c r="N717" t="s">
        <v>33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124</v>
      </c>
      <c r="V717" t="s">
        <v>78</v>
      </c>
      <c r="W717">
        <f>IF(ISBLANK(Q717), 0, IFERROR(VALUE(Q717), 0.7))</f>
        <v>0</v>
      </c>
      <c r="X717">
        <f>D717 - C717</f>
        <v>5</v>
      </c>
      <c r="Y717">
        <f>O717 * P717 * (1 - W717)</f>
        <v>19901.63</v>
      </c>
      <c r="Z717">
        <f>Y717 - S717</f>
        <v>4409.6000000000004</v>
      </c>
      <c r="AA717">
        <f>IFERROR(Z717 / Y717, 0)</f>
        <v>0.22156979101711771</v>
      </c>
      <c r="AB717" t="str">
        <f>TEXT(C717, "mmmm")</f>
        <v>August</v>
      </c>
      <c r="AC717">
        <f>YEAR(C717)</f>
        <v>2025</v>
      </c>
      <c r="AD717" t="str">
        <f>IF(X717&lt;0, "Invalid: Ship Date Before Order Date", IF(W717&lt;0, "Invalid: Negative Discount", IF(W717&gt;0.5, "Invalid: Exceeds Allowed Discount", "OK")))</f>
        <v>OK</v>
      </c>
    </row>
    <row r="718" spans="1:30">
      <c r="A718" t="s">
        <v>3343</v>
      </c>
      <c r="B718" t="str">
        <f t="shared" si="11"/>
        <v>Unique</v>
      </c>
      <c r="C718" s="3">
        <v>45895</v>
      </c>
      <c r="D718" s="3">
        <v>45900</v>
      </c>
      <c r="E718" t="s">
        <v>3345</v>
      </c>
      <c r="F718" t="s">
        <v>210</v>
      </c>
      <c r="G718" t="s">
        <v>41</v>
      </c>
      <c r="H718" t="s">
        <v>27</v>
      </c>
      <c r="I718" t="s">
        <v>323</v>
      </c>
      <c r="J718" t="s">
        <v>324</v>
      </c>
      <c r="K718" t="s">
        <v>86</v>
      </c>
      <c r="L718" t="s">
        <v>223</v>
      </c>
      <c r="M718" t="s">
        <v>3346</v>
      </c>
      <c r="N718" t="s">
        <v>56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34</v>
      </c>
      <c r="V718" t="s">
        <v>35</v>
      </c>
      <c r="W718">
        <f>IF(ISBLANK(Q718), 0, IFERROR(VALUE(Q718), 0.7))</f>
        <v>0.15</v>
      </c>
      <c r="X718">
        <f>D718 - C718</f>
        <v>5</v>
      </c>
      <c r="Y718">
        <f>O718 * P718 * (1 - W718)</f>
        <v>2879.817</v>
      </c>
      <c r="Z718">
        <f>Y718 - S718</f>
        <v>1054.9369999999999</v>
      </c>
      <c r="AA718">
        <f>IFERROR(Z718 / Y718, 0)</f>
        <v>0.3663208460815392</v>
      </c>
      <c r="AB718" t="str">
        <f>TEXT(C718, "mmmm")</f>
        <v>August</v>
      </c>
      <c r="AC718">
        <f>YEAR(C718)</f>
        <v>2025</v>
      </c>
      <c r="AD718" t="str">
        <f>IF(X718&lt;0, "Invalid: Ship Date Before Order Date", IF(W718&lt;0, "Invalid: Negative Discount", IF(W718&gt;0.5, "Invalid: Exceeds Allowed Discount", "OK")))</f>
        <v>OK</v>
      </c>
    </row>
    <row r="719" spans="1:30">
      <c r="A719" t="s">
        <v>3347</v>
      </c>
      <c r="B719" t="str">
        <f t="shared" si="11"/>
        <v>Unique</v>
      </c>
      <c r="C719" s="3">
        <v>46001</v>
      </c>
      <c r="D719" s="3">
        <v>45945</v>
      </c>
      <c r="E719" t="s">
        <v>3349</v>
      </c>
      <c r="F719" t="s">
        <v>366</v>
      </c>
      <c r="G719" t="s">
        <v>41</v>
      </c>
      <c r="H719" t="s">
        <v>27</v>
      </c>
      <c r="I719" t="s">
        <v>323</v>
      </c>
      <c r="J719" t="s">
        <v>324</v>
      </c>
      <c r="K719" t="s">
        <v>86</v>
      </c>
      <c r="L719" t="s">
        <v>382</v>
      </c>
      <c r="M719" t="s">
        <v>3350</v>
      </c>
      <c r="N719" t="s">
        <v>67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137</v>
      </c>
      <c r="V719" t="s">
        <v>78</v>
      </c>
      <c r="W719">
        <f>IF(ISBLANK(Q719), 0, IFERROR(VALUE(Q719), 0.7))</f>
        <v>0.2</v>
      </c>
      <c r="X719">
        <f>D719 - C719</f>
        <v>-56</v>
      </c>
      <c r="Y719">
        <f>O719 * P719 * (1 - W719)</f>
        <v>18712.223999999998</v>
      </c>
      <c r="Z719">
        <f>Y719 - S719</f>
        <v>6860.003999999999</v>
      </c>
      <c r="AA719">
        <f>IFERROR(Z719 / Y719, 0)</f>
        <v>0.3666054874075898</v>
      </c>
      <c r="AB719" t="str">
        <f>TEXT(C719, "mmmm")</f>
        <v>December</v>
      </c>
      <c r="AC719">
        <f>YEAR(C719)</f>
        <v>2025</v>
      </c>
      <c r="AD719" t="str">
        <f>IF(X719&lt;0, "Invalid: Ship Date Before Order Date", IF(W719&lt;0, "Invalid: Negative Discount", IF(W719&gt;0.5, "Invalid: Exceeds Allowed Discount", "OK")))</f>
        <v>Invalid: Ship Date Before Order Date</v>
      </c>
    </row>
    <row r="720" spans="1:30">
      <c r="A720" t="s">
        <v>3351</v>
      </c>
      <c r="B720" t="str">
        <f t="shared" si="11"/>
        <v>Unique</v>
      </c>
      <c r="C720" s="3">
        <v>45541</v>
      </c>
      <c r="D720" s="3">
        <v>45544</v>
      </c>
      <c r="E720" t="s">
        <v>3353</v>
      </c>
      <c r="F720" t="s">
        <v>40</v>
      </c>
      <c r="G720" t="s">
        <v>26</v>
      </c>
      <c r="H720" t="s">
        <v>73</v>
      </c>
      <c r="I720" t="s">
        <v>74</v>
      </c>
      <c r="J720" t="s">
        <v>75</v>
      </c>
      <c r="K720" t="s">
        <v>30</v>
      </c>
      <c r="L720" t="s">
        <v>54</v>
      </c>
      <c r="M720" t="s">
        <v>3354</v>
      </c>
      <c r="N720" t="s">
        <v>48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34</v>
      </c>
      <c r="V720" t="s">
        <v>35</v>
      </c>
      <c r="W720">
        <f>IF(ISBLANK(Q720), 0, IFERROR(VALUE(Q720), 0.7))</f>
        <v>0.2</v>
      </c>
      <c r="X720">
        <f>D720 - C720</f>
        <v>3</v>
      </c>
      <c r="Y720">
        <f>O720 * P720 * (1 - W720)</f>
        <v>4733.4479999999994</v>
      </c>
      <c r="Z720">
        <f>Y720 - S720</f>
        <v>1061.1279999999992</v>
      </c>
      <c r="AA720">
        <f>IFERROR(Z720 / Y720, 0)</f>
        <v>0.22417654107534282</v>
      </c>
      <c r="AB720" t="str">
        <f>TEXT(C720, "mmmm")</f>
        <v>September</v>
      </c>
      <c r="AC720">
        <f>YEAR(C720)</f>
        <v>2024</v>
      </c>
      <c r="AD720" t="str">
        <f>IF(X720&lt;0, "Invalid: Ship Date Before Order Date", IF(W720&lt;0, "Invalid: Negative Discount", IF(W720&gt;0.5, "Invalid: Exceeds Allowed Discount", "OK")))</f>
        <v>OK</v>
      </c>
    </row>
    <row r="721" spans="1:30">
      <c r="A721" t="s">
        <v>3355</v>
      </c>
      <c r="B721" t="str">
        <f t="shared" si="11"/>
        <v>Unique</v>
      </c>
      <c r="C721" s="3">
        <v>45908</v>
      </c>
      <c r="D721" s="3">
        <v>45909</v>
      </c>
      <c r="E721" t="s">
        <v>185</v>
      </c>
      <c r="F721" t="s">
        <v>366</v>
      </c>
      <c r="G721" t="s">
        <v>108</v>
      </c>
      <c r="H721" t="s">
        <v>73</v>
      </c>
      <c r="I721" t="s">
        <v>235</v>
      </c>
      <c r="J721" t="s">
        <v>236</v>
      </c>
      <c r="K721" t="s">
        <v>30</v>
      </c>
      <c r="L721" t="s">
        <v>54</v>
      </c>
      <c r="M721" t="s">
        <v>3356</v>
      </c>
      <c r="N721" t="s">
        <v>48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34</v>
      </c>
      <c r="V721" t="s">
        <v>35</v>
      </c>
      <c r="W721">
        <f>IF(ISBLANK(Q721), 0, IFERROR(VALUE(Q721), 0.7))</f>
        <v>0.2</v>
      </c>
      <c r="X721">
        <f>D721 - C721</f>
        <v>1</v>
      </c>
      <c r="Y721">
        <f>O721 * P721 * (1 - W721)</f>
        <v>3795.8559999999998</v>
      </c>
      <c r="Z721">
        <f>Y721 - S721</f>
        <v>1530.9359999999997</v>
      </c>
      <c r="AA721">
        <f>IFERROR(Z721 / Y721, 0)</f>
        <v>0.40331772332775528</v>
      </c>
      <c r="AB721" t="str">
        <f>TEXT(C721, "mmmm")</f>
        <v>September</v>
      </c>
      <c r="AC721">
        <f>YEAR(C721)</f>
        <v>2025</v>
      </c>
      <c r="AD721" t="str">
        <f>IF(X721&lt;0, "Invalid: Ship Date Before Order Date", IF(W721&lt;0, "Invalid: Negative Discount", IF(W721&gt;0.5, "Invalid: Exceeds Allowed Discount", "OK")))</f>
        <v>OK</v>
      </c>
    </row>
    <row r="722" spans="1:30">
      <c r="A722" t="s">
        <v>3357</v>
      </c>
      <c r="B722" t="str">
        <f t="shared" si="11"/>
        <v>Unique</v>
      </c>
      <c r="C722" s="3">
        <v>45489</v>
      </c>
      <c r="D722" s="3">
        <v>45489</v>
      </c>
      <c r="E722" t="s">
        <v>3359</v>
      </c>
      <c r="F722" t="s">
        <v>107</v>
      </c>
      <c r="G722" t="s">
        <v>115</v>
      </c>
      <c r="H722" t="s">
        <v>73</v>
      </c>
      <c r="I722" t="s">
        <v>84</v>
      </c>
      <c r="J722" t="s">
        <v>85</v>
      </c>
      <c r="K722" t="s">
        <v>86</v>
      </c>
      <c r="L722" t="s">
        <v>94</v>
      </c>
      <c r="M722" t="s">
        <v>3360</v>
      </c>
      <c r="N722" t="s">
        <v>48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34</v>
      </c>
      <c r="V722" t="s">
        <v>35</v>
      </c>
      <c r="W722">
        <f>IF(ISBLANK(Q722), 0, IFERROR(VALUE(Q722), 0.7))</f>
        <v>0.15</v>
      </c>
      <c r="X722">
        <f>D722 - C722</f>
        <v>0</v>
      </c>
      <c r="Y722">
        <f>O722 * P722 * (1 - W722)</f>
        <v>15231.727999999999</v>
      </c>
      <c r="Z722">
        <f>Y722 - S722</f>
        <v>2780.268</v>
      </c>
      <c r="AA722">
        <f>IFERROR(Z722 / Y722, 0)</f>
        <v>0.1825313582280356</v>
      </c>
      <c r="AB722" t="str">
        <f>TEXT(C722, "mmmm")</f>
        <v>July</v>
      </c>
      <c r="AC722">
        <f>YEAR(C722)</f>
        <v>2024</v>
      </c>
      <c r="AD722" t="str">
        <f>IF(X722&lt;0, "Invalid: Ship Date Before Order Date", IF(W722&lt;0, "Invalid: Negative Discount", IF(W722&gt;0.5, "Invalid: Exceeds Allowed Discount", "OK")))</f>
        <v>OK</v>
      </c>
    </row>
    <row r="723" spans="1:30">
      <c r="A723" t="s">
        <v>3361</v>
      </c>
      <c r="B723" t="str">
        <f t="shared" si="11"/>
        <v>Unique</v>
      </c>
      <c r="C723" s="3">
        <v>45827</v>
      </c>
      <c r="D723" s="3">
        <v>45831</v>
      </c>
      <c r="E723" t="s">
        <v>3363</v>
      </c>
      <c r="F723" t="s">
        <v>168</v>
      </c>
      <c r="G723" t="s">
        <v>26</v>
      </c>
      <c r="H723" t="s">
        <v>62</v>
      </c>
      <c r="I723" t="s">
        <v>229</v>
      </c>
      <c r="J723" t="s">
        <v>230</v>
      </c>
      <c r="K723" t="s">
        <v>86</v>
      </c>
      <c r="L723" t="s">
        <v>94</v>
      </c>
      <c r="M723" t="s">
        <v>3364</v>
      </c>
      <c r="N723" t="s">
        <v>56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34</v>
      </c>
      <c r="V723" t="s">
        <v>35</v>
      </c>
      <c r="W723">
        <f>IF(ISBLANK(Q723), 0, IFERROR(VALUE(Q723), 0.7))</f>
        <v>0</v>
      </c>
      <c r="X723">
        <f>D723 - C723</f>
        <v>4</v>
      </c>
      <c r="Y723">
        <f>O723 * P723 * (1 - W723)</f>
        <v>13649.75</v>
      </c>
      <c r="Z723">
        <f>Y723 - S723</f>
        <v>3361.7199999999993</v>
      </c>
      <c r="AA723">
        <f>IFERROR(Z723 / Y723, 0)</f>
        <v>0.24628436418249414</v>
      </c>
      <c r="AB723" t="str">
        <f>TEXT(C723, "mmmm")</f>
        <v>June</v>
      </c>
      <c r="AC723">
        <f>YEAR(C723)</f>
        <v>2025</v>
      </c>
      <c r="AD723" t="str">
        <f>IF(X723&lt;0, "Invalid: Ship Date Before Order Date", IF(W723&lt;0, "Invalid: Negative Discount", IF(W723&gt;0.5, "Invalid: Exceeds Allowed Discount", "OK")))</f>
        <v>OK</v>
      </c>
    </row>
    <row r="724" spans="1:30">
      <c r="A724" t="s">
        <v>3365</v>
      </c>
      <c r="B724" t="str">
        <f t="shared" si="11"/>
        <v>Unique</v>
      </c>
      <c r="C724" s="3">
        <v>45572</v>
      </c>
      <c r="D724" s="3">
        <v>45575</v>
      </c>
      <c r="E724" t="s">
        <v>3367</v>
      </c>
      <c r="F724" t="s">
        <v>83</v>
      </c>
      <c r="G724" t="s">
        <v>26</v>
      </c>
      <c r="H724" t="s">
        <v>42</v>
      </c>
      <c r="I724" t="s">
        <v>121</v>
      </c>
      <c r="J724" t="s">
        <v>122</v>
      </c>
      <c r="K724" t="s">
        <v>45</v>
      </c>
      <c r="L724" t="s">
        <v>76</v>
      </c>
      <c r="M724" t="s">
        <v>3368</v>
      </c>
      <c r="N724" t="s">
        <v>33</v>
      </c>
      <c r="O724">
        <v>9</v>
      </c>
      <c r="P724">
        <v>481.51</v>
      </c>
      <c r="R724">
        <v>4333.59</v>
      </c>
      <c r="S724">
        <v>2533.59</v>
      </c>
      <c r="T724">
        <v>1800</v>
      </c>
      <c r="U724" t="s">
        <v>124</v>
      </c>
      <c r="V724" t="s">
        <v>78</v>
      </c>
      <c r="W724">
        <f>IF(ISBLANK(Q724), 0, IFERROR(VALUE(Q724), 0.7))</f>
        <v>0</v>
      </c>
      <c r="X724">
        <f>D724 - C724</f>
        <v>3</v>
      </c>
      <c r="Y724">
        <f>O724 * P724 * (1 - W724)</f>
        <v>4333.59</v>
      </c>
      <c r="Z724">
        <f>Y724 - S724</f>
        <v>1800</v>
      </c>
      <c r="AA724">
        <f>IFERROR(Z724 / Y724, 0)</f>
        <v>0.41536001329152039</v>
      </c>
      <c r="AB724" t="str">
        <f>TEXT(C724, "mmmm")</f>
        <v>October</v>
      </c>
      <c r="AC724">
        <f>YEAR(C724)</f>
        <v>2024</v>
      </c>
      <c r="AD724" t="str">
        <f>IF(X724&lt;0, "Invalid: Ship Date Before Order Date", IF(W724&lt;0, "Invalid: Negative Discount", IF(W724&gt;0.5, "Invalid: Exceeds Allowed Discount", "OK")))</f>
        <v>OK</v>
      </c>
    </row>
    <row r="725" spans="1:30">
      <c r="A725" t="s">
        <v>3369</v>
      </c>
      <c r="B725" t="str">
        <f t="shared" si="11"/>
        <v>Unique</v>
      </c>
      <c r="C725" s="3">
        <v>45936</v>
      </c>
      <c r="D725" s="3">
        <v>45943</v>
      </c>
      <c r="E725" t="s">
        <v>3371</v>
      </c>
      <c r="F725" t="s">
        <v>366</v>
      </c>
      <c r="G725" t="s">
        <v>115</v>
      </c>
      <c r="H725" t="s">
        <v>42</v>
      </c>
      <c r="I725" t="s">
        <v>311</v>
      </c>
      <c r="J725" t="s">
        <v>312</v>
      </c>
      <c r="K725" t="s">
        <v>86</v>
      </c>
      <c r="L725" t="s">
        <v>87</v>
      </c>
      <c r="M725" t="s">
        <v>3372</v>
      </c>
      <c r="N725" t="s">
        <v>67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200</v>
      </c>
      <c r="V725" t="s">
        <v>125</v>
      </c>
      <c r="W725">
        <f>IF(ISBLANK(Q725), 0, IFERROR(VALUE(Q725), 0.7))</f>
        <v>0.05</v>
      </c>
      <c r="X725">
        <f>D725 - C725</f>
        <v>7</v>
      </c>
      <c r="Y725">
        <f>O725 * P725 * (1 - W725)</f>
        <v>13634.000999999998</v>
      </c>
      <c r="Z725">
        <f>Y725 - S725</f>
        <v>4044.1909999999989</v>
      </c>
      <c r="AA725">
        <f>IFERROR(Z725 / Y725, 0)</f>
        <v>0.29662539998346776</v>
      </c>
      <c r="AB725" t="str">
        <f>TEXT(C725, "mmmm")</f>
        <v>October</v>
      </c>
      <c r="AC725">
        <f>YEAR(C725)</f>
        <v>2025</v>
      </c>
      <c r="AD725" t="str">
        <f>IF(X725&lt;0, "Invalid: Ship Date Before Order Date", IF(W725&lt;0, "Invalid: Negative Discount", IF(W725&gt;0.5, "Invalid: Exceeds Allowed Discount", "OK")))</f>
        <v>OK</v>
      </c>
    </row>
    <row r="726" spans="1:30">
      <c r="A726" t="s">
        <v>3373</v>
      </c>
      <c r="B726" t="str">
        <f t="shared" si="11"/>
        <v>Unique</v>
      </c>
      <c r="C726" s="3">
        <v>45332</v>
      </c>
      <c r="D726" s="3">
        <v>45338</v>
      </c>
      <c r="E726" t="s">
        <v>3375</v>
      </c>
      <c r="F726" t="s">
        <v>25</v>
      </c>
      <c r="G726" t="s">
        <v>26</v>
      </c>
      <c r="H726" t="s">
        <v>73</v>
      </c>
      <c r="I726" t="s">
        <v>249</v>
      </c>
      <c r="J726" t="s">
        <v>250</v>
      </c>
      <c r="K726" t="s">
        <v>45</v>
      </c>
      <c r="L726" t="s">
        <v>65</v>
      </c>
      <c r="M726" t="s">
        <v>3376</v>
      </c>
      <c r="N726" t="s">
        <v>33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34</v>
      </c>
      <c r="V726" t="s">
        <v>35</v>
      </c>
      <c r="W726">
        <f>IF(ISBLANK(Q726), 0, IFERROR(VALUE(Q726), 0.7))</f>
        <v>0</v>
      </c>
      <c r="X726">
        <f>D726 - C726</f>
        <v>6</v>
      </c>
      <c r="Y726">
        <f>O726 * P726 * (1 - W726)</f>
        <v>760.29</v>
      </c>
      <c r="Z726">
        <f>Y726 - S726</f>
        <v>262.52</v>
      </c>
      <c r="AA726">
        <f>IFERROR(Z726 / Y726, 0)</f>
        <v>0.34528929750489945</v>
      </c>
      <c r="AB726" t="str">
        <f>TEXT(C726, "mmmm")</f>
        <v>February</v>
      </c>
      <c r="AC726">
        <f>YEAR(C726)</f>
        <v>2024</v>
      </c>
      <c r="AD726" t="str">
        <f>IF(X726&lt;0, "Invalid: Ship Date Before Order Date", IF(W726&lt;0, "Invalid: Negative Discount", IF(W726&gt;0.5, "Invalid: Exceeds Allowed Discount", "OK")))</f>
        <v>OK</v>
      </c>
    </row>
    <row r="727" spans="1:30">
      <c r="A727" t="s">
        <v>3377</v>
      </c>
      <c r="B727" t="str">
        <f t="shared" si="11"/>
        <v>Unique</v>
      </c>
      <c r="C727" s="3">
        <v>45935</v>
      </c>
      <c r="D727" s="3">
        <v>45942</v>
      </c>
      <c r="E727" t="s">
        <v>3379</v>
      </c>
      <c r="F727" t="s">
        <v>142</v>
      </c>
      <c r="G727" t="s">
        <v>108</v>
      </c>
      <c r="H727" t="s">
        <v>62</v>
      </c>
      <c r="I727" t="s">
        <v>229</v>
      </c>
      <c r="J727" t="s">
        <v>230</v>
      </c>
      <c r="K727" t="s">
        <v>45</v>
      </c>
      <c r="L727" t="s">
        <v>46</v>
      </c>
      <c r="M727" t="s">
        <v>3380</v>
      </c>
      <c r="N727" t="s">
        <v>33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34</v>
      </c>
      <c r="V727" t="s">
        <v>35</v>
      </c>
      <c r="W727">
        <f>IF(ISBLANK(Q727), 0, IFERROR(VALUE(Q727), 0.7))</f>
        <v>0</v>
      </c>
      <c r="X727">
        <f>D727 - C727</f>
        <v>7</v>
      </c>
      <c r="Y727">
        <f>O727 * P727 * (1 - W727)</f>
        <v>14943.11</v>
      </c>
      <c r="Z727">
        <f>Y727 - S727</f>
        <v>6421.6100000000006</v>
      </c>
      <c r="AA727">
        <f>IFERROR(Z727 / Y727, 0)</f>
        <v>0.42973718322357263</v>
      </c>
      <c r="AB727" t="str">
        <f>TEXT(C727, "mmmm")</f>
        <v>October</v>
      </c>
      <c r="AC727">
        <f>YEAR(C727)</f>
        <v>2025</v>
      </c>
      <c r="AD727" t="str">
        <f>IF(X727&lt;0, "Invalid: Ship Date Before Order Date", IF(W727&lt;0, "Invalid: Negative Discount", IF(W727&gt;0.5, "Invalid: Exceeds Allowed Discount", "OK")))</f>
        <v>OK</v>
      </c>
    </row>
    <row r="728" spans="1:30">
      <c r="A728" t="s">
        <v>3381</v>
      </c>
      <c r="B728" t="str">
        <f t="shared" si="11"/>
        <v>Unique</v>
      </c>
      <c r="C728" s="3">
        <v>45308</v>
      </c>
      <c r="D728" s="3">
        <v>45314</v>
      </c>
      <c r="E728" t="s">
        <v>3384</v>
      </c>
      <c r="F728" t="s">
        <v>366</v>
      </c>
      <c r="G728" t="s">
        <v>115</v>
      </c>
      <c r="H728" t="s">
        <v>73</v>
      </c>
      <c r="I728" t="s">
        <v>235</v>
      </c>
      <c r="J728" t="s">
        <v>236</v>
      </c>
      <c r="K728" t="s">
        <v>86</v>
      </c>
      <c r="L728" t="s">
        <v>223</v>
      </c>
      <c r="M728" t="s">
        <v>3385</v>
      </c>
      <c r="N728" t="s">
        <v>67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137</v>
      </c>
      <c r="V728" t="s">
        <v>125</v>
      </c>
      <c r="W728">
        <f>IF(ISBLANK(Q728), 0, IFERROR(VALUE(Q728), 0.7))</f>
        <v>0.2</v>
      </c>
      <c r="X728">
        <f>D728 - C728</f>
        <v>6</v>
      </c>
      <c r="Y728">
        <f>O728 * P728 * (1 - W728)</f>
        <v>8072</v>
      </c>
      <c r="Z728">
        <f>Y728 - S728</f>
        <v>2692.7799999999997</v>
      </c>
      <c r="AA728">
        <f>IFERROR(Z728 / Y728, 0)</f>
        <v>0.33359514370664023</v>
      </c>
      <c r="AB728" t="str">
        <f>TEXT(C728, "mmmm")</f>
        <v>January</v>
      </c>
      <c r="AC728">
        <f>YEAR(C728)</f>
        <v>2024</v>
      </c>
      <c r="AD728" t="str">
        <f>IF(X728&lt;0, "Invalid: Ship Date Before Order Date", IF(W728&lt;0, "Invalid: Negative Discount", IF(W728&gt;0.5, "Invalid: Exceeds Allowed Discount", "OK")))</f>
        <v>OK</v>
      </c>
    </row>
    <row r="729" spans="1:30">
      <c r="A729" t="s">
        <v>3386</v>
      </c>
      <c r="B729" t="str">
        <f t="shared" si="11"/>
        <v>Unique</v>
      </c>
      <c r="C729" s="3">
        <v>45578</v>
      </c>
      <c r="D729" s="3">
        <v>45578</v>
      </c>
      <c r="E729" t="s">
        <v>3388</v>
      </c>
      <c r="F729" t="s">
        <v>162</v>
      </c>
      <c r="G729" t="s">
        <v>41</v>
      </c>
      <c r="H729" t="s">
        <v>42</v>
      </c>
      <c r="I729" t="s">
        <v>216</v>
      </c>
      <c r="J729" t="s">
        <v>217</v>
      </c>
      <c r="K729" t="s">
        <v>86</v>
      </c>
      <c r="L729" t="s">
        <v>87</v>
      </c>
      <c r="M729" t="s">
        <v>3389</v>
      </c>
      <c r="N729" t="s">
        <v>33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34</v>
      </c>
      <c r="V729" t="s">
        <v>35</v>
      </c>
      <c r="W729">
        <f>IF(ISBLANK(Q729), 0, IFERROR(VALUE(Q729), 0.7))</f>
        <v>0.05</v>
      </c>
      <c r="X729">
        <f>D729 - C729</f>
        <v>0</v>
      </c>
      <c r="Y729">
        <f>O729 * P729 * (1 - W729)</f>
        <v>28353.015999999996</v>
      </c>
      <c r="Z729">
        <f>Y729 - S729</f>
        <v>9095.1659999999974</v>
      </c>
      <c r="AA729">
        <f>IFERROR(Z729 / Y729, 0)</f>
        <v>0.3207830165228277</v>
      </c>
      <c r="AB729" t="str">
        <f>TEXT(C729, "mmmm")</f>
        <v>October</v>
      </c>
      <c r="AC729">
        <f>YEAR(C729)</f>
        <v>2024</v>
      </c>
      <c r="AD729" t="str">
        <f>IF(X729&lt;0, "Invalid: Ship Date Before Order Date", IF(W729&lt;0, "Invalid: Negative Discount", IF(W729&gt;0.5, "Invalid: Exceeds Allowed Discount", "OK")))</f>
        <v>OK</v>
      </c>
    </row>
    <row r="730" spans="1:30">
      <c r="A730" t="s">
        <v>3390</v>
      </c>
      <c r="B730" t="str">
        <f t="shared" si="11"/>
        <v>Unique</v>
      </c>
      <c r="C730" s="3">
        <v>45295</v>
      </c>
      <c r="D730" s="3">
        <v>45474</v>
      </c>
      <c r="E730" t="s">
        <v>3391</v>
      </c>
      <c r="F730" t="s">
        <v>168</v>
      </c>
      <c r="G730" t="s">
        <v>41</v>
      </c>
      <c r="H730" t="s">
        <v>62</v>
      </c>
      <c r="I730" t="s">
        <v>229</v>
      </c>
      <c r="J730" t="s">
        <v>230</v>
      </c>
      <c r="K730" t="s">
        <v>86</v>
      </c>
      <c r="L730" t="s">
        <v>382</v>
      </c>
      <c r="M730" t="s">
        <v>3392</v>
      </c>
      <c r="N730" t="s">
        <v>56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34</v>
      </c>
      <c r="V730" t="s">
        <v>35</v>
      </c>
      <c r="W730">
        <f>IF(ISBLANK(Q730), 0, IFERROR(VALUE(Q730), 0.7))</f>
        <v>0.15</v>
      </c>
      <c r="X730">
        <f>D730 - C730</f>
        <v>179</v>
      </c>
      <c r="Y730">
        <f>O730 * P730 * (1 - W730)</f>
        <v>2008.567</v>
      </c>
      <c r="Z730">
        <f>Y730 - S730</f>
        <v>813.73700000000008</v>
      </c>
      <c r="AA730">
        <f>IFERROR(Z730 / Y730, 0)</f>
        <v>0.40513311231340554</v>
      </c>
      <c r="AB730" t="str">
        <f>TEXT(C730, "mmmm")</f>
        <v>January</v>
      </c>
      <c r="AC730">
        <f>YEAR(C730)</f>
        <v>2024</v>
      </c>
      <c r="AD730" t="str">
        <f>IF(X730&lt;0, "Invalid: Ship Date Before Order Date", IF(W730&lt;0, "Invalid: Negative Discount", IF(W730&gt;0.5, "Invalid: Exceeds Allowed Discount", "OK")))</f>
        <v>OK</v>
      </c>
    </row>
    <row r="731" spans="1:30">
      <c r="A731" t="s">
        <v>3393</v>
      </c>
      <c r="B731" t="str">
        <f t="shared" si="11"/>
        <v>Unique</v>
      </c>
      <c r="C731" s="3">
        <v>45794</v>
      </c>
      <c r="D731" s="3">
        <v>45802</v>
      </c>
      <c r="E731" t="s">
        <v>3396</v>
      </c>
      <c r="F731" t="s">
        <v>72</v>
      </c>
      <c r="G731" t="s">
        <v>108</v>
      </c>
      <c r="H731" t="s">
        <v>62</v>
      </c>
      <c r="I731" t="s">
        <v>339</v>
      </c>
      <c r="J731" t="s">
        <v>340</v>
      </c>
      <c r="K731" t="s">
        <v>86</v>
      </c>
      <c r="L731" t="s">
        <v>382</v>
      </c>
      <c r="M731" t="s">
        <v>3397</v>
      </c>
      <c r="N731" t="s">
        <v>48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34</v>
      </c>
      <c r="V731" t="s">
        <v>35</v>
      </c>
      <c r="W731">
        <f>IF(ISBLANK(Q731), 0, IFERROR(VALUE(Q731), 0.7))</f>
        <v>0.15</v>
      </c>
      <c r="X731">
        <f>D731 - C731</f>
        <v>8</v>
      </c>
      <c r="Y731">
        <f>O731 * P731 * (1 - W731)</f>
        <v>9234.2129999999997</v>
      </c>
      <c r="Z731">
        <f>Y731 - S731</f>
        <v>3717.6929999999993</v>
      </c>
      <c r="AA731">
        <f>IFERROR(Z731 / Y731, 0)</f>
        <v>0.40259987505161504</v>
      </c>
      <c r="AB731" t="str">
        <f>TEXT(C731, "mmmm")</f>
        <v>May</v>
      </c>
      <c r="AC731">
        <f>YEAR(C731)</f>
        <v>2025</v>
      </c>
      <c r="AD731" t="str">
        <f>IF(X731&lt;0, "Invalid: Ship Date Before Order Date", IF(W731&lt;0, "Invalid: Negative Discount", IF(W731&gt;0.5, "Invalid: Exceeds Allowed Discount", "OK")))</f>
        <v>OK</v>
      </c>
    </row>
    <row r="732" spans="1:30">
      <c r="A732" t="s">
        <v>3398</v>
      </c>
      <c r="B732" t="str">
        <f t="shared" si="11"/>
        <v>Unique</v>
      </c>
      <c r="C732" s="3">
        <v>45827</v>
      </c>
      <c r="D732" s="3">
        <v>45832</v>
      </c>
      <c r="E732" t="s">
        <v>3400</v>
      </c>
      <c r="F732" t="s">
        <v>61</v>
      </c>
      <c r="G732" t="s">
        <v>26</v>
      </c>
      <c r="H732" t="s">
        <v>42</v>
      </c>
      <c r="I732" t="s">
        <v>121</v>
      </c>
      <c r="J732" t="s">
        <v>122</v>
      </c>
      <c r="K732" t="s">
        <v>30</v>
      </c>
      <c r="L732" t="s">
        <v>54</v>
      </c>
      <c r="M732" t="s">
        <v>3401</v>
      </c>
      <c r="N732" t="s">
        <v>33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124</v>
      </c>
      <c r="V732" t="s">
        <v>125</v>
      </c>
      <c r="W732">
        <f>IF(ISBLANK(Q732), 0, IFERROR(VALUE(Q732), 0.7))</f>
        <v>0.15</v>
      </c>
      <c r="X732">
        <f>D732 - C732</f>
        <v>5</v>
      </c>
      <c r="Y732">
        <f>O732 * P732 * (1 - W732)</f>
        <v>2658.8339999999998</v>
      </c>
      <c r="Z732">
        <f>Y732 - S732</f>
        <v>431.86400000000003</v>
      </c>
      <c r="AA732">
        <f>IFERROR(Z732 / Y732, 0)</f>
        <v>0.16242608602116568</v>
      </c>
      <c r="AB732" t="str">
        <f>TEXT(C732, "mmmm")</f>
        <v>June</v>
      </c>
      <c r="AC732">
        <f>YEAR(C732)</f>
        <v>2025</v>
      </c>
      <c r="AD732" t="str">
        <f>IF(X732&lt;0, "Invalid: Ship Date Before Order Date", IF(W732&lt;0, "Invalid: Negative Discount", IF(W732&gt;0.5, "Invalid: Exceeds Allowed Discount", "OK")))</f>
        <v>OK</v>
      </c>
    </row>
    <row r="733" spans="1:30">
      <c r="A733" t="s">
        <v>3402</v>
      </c>
      <c r="B733" t="str">
        <f t="shared" si="11"/>
        <v>Unique</v>
      </c>
      <c r="C733" s="3">
        <v>45368</v>
      </c>
      <c r="D733" s="3">
        <v>45370</v>
      </c>
      <c r="E733" t="s">
        <v>3405</v>
      </c>
      <c r="F733" t="s">
        <v>72</v>
      </c>
      <c r="G733" t="s">
        <v>108</v>
      </c>
      <c r="H733" t="s">
        <v>42</v>
      </c>
      <c r="I733" t="s">
        <v>43</v>
      </c>
      <c r="J733" t="s">
        <v>44</v>
      </c>
      <c r="K733" t="s">
        <v>30</v>
      </c>
      <c r="L733" t="s">
        <v>198</v>
      </c>
      <c r="M733" t="s">
        <v>3406</v>
      </c>
      <c r="N733" t="s">
        <v>56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34</v>
      </c>
      <c r="V733" t="s">
        <v>35</v>
      </c>
      <c r="W733">
        <f>IF(ISBLANK(Q733), 0, IFERROR(VALUE(Q733), 0.7))</f>
        <v>0.1</v>
      </c>
      <c r="X733">
        <f>D733 - C733</f>
        <v>2</v>
      </c>
      <c r="Y733">
        <f>O733 * P733 * (1 - W733)</f>
        <v>15756.048000000001</v>
      </c>
      <c r="Z733">
        <f>Y733 - S733</f>
        <v>5510.6080000000002</v>
      </c>
      <c r="AA733">
        <f>IFERROR(Z733 / Y733, 0)</f>
        <v>0.3497455707167178</v>
      </c>
      <c r="AB733" t="str">
        <f>TEXT(C733, "mmmm")</f>
        <v>March</v>
      </c>
      <c r="AC733">
        <f>YEAR(C733)</f>
        <v>2024</v>
      </c>
      <c r="AD733" t="str">
        <f>IF(X733&lt;0, "Invalid: Ship Date Before Order Date", IF(W733&lt;0, "Invalid: Negative Discount", IF(W733&gt;0.5, "Invalid: Exceeds Allowed Discount", "OK")))</f>
        <v>OK</v>
      </c>
    </row>
    <row r="734" spans="1:30">
      <c r="A734" t="s">
        <v>3407</v>
      </c>
      <c r="B734" t="str">
        <f t="shared" si="11"/>
        <v>Unique</v>
      </c>
      <c r="C734" s="3">
        <v>45624</v>
      </c>
      <c r="D734" s="3">
        <v>45632</v>
      </c>
      <c r="E734" t="s">
        <v>3409</v>
      </c>
      <c r="F734" t="s">
        <v>61</v>
      </c>
      <c r="G734" t="s">
        <v>41</v>
      </c>
      <c r="H734" t="s">
        <v>27</v>
      </c>
      <c r="I734" t="s">
        <v>154</v>
      </c>
      <c r="J734" t="s">
        <v>155</v>
      </c>
      <c r="K734" t="s">
        <v>86</v>
      </c>
      <c r="L734" t="s">
        <v>223</v>
      </c>
      <c r="M734" t="s">
        <v>3410</v>
      </c>
      <c r="N734" t="s">
        <v>67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34</v>
      </c>
      <c r="V734" t="s">
        <v>35</v>
      </c>
      <c r="W734">
        <f>IF(ISBLANK(Q734), 0, IFERROR(VALUE(Q734), 0.7))</f>
        <v>0</v>
      </c>
      <c r="X734">
        <f>D734 - C734</f>
        <v>8</v>
      </c>
      <c r="Y734">
        <f>O734 * P734 * (1 - W734)</f>
        <v>14787.78</v>
      </c>
      <c r="Z734">
        <f>Y734 - S734</f>
        <v>6191.130000000001</v>
      </c>
      <c r="AA734">
        <f>IFERROR(Z734 / Y734, 0)</f>
        <v>0.41866527632950995</v>
      </c>
      <c r="AB734" t="str">
        <f>TEXT(C734, "mmmm")</f>
        <v>November</v>
      </c>
      <c r="AC734">
        <f>YEAR(C734)</f>
        <v>2024</v>
      </c>
      <c r="AD734" t="str">
        <f>IF(X734&lt;0, "Invalid: Ship Date Before Order Date", IF(W734&lt;0, "Invalid: Negative Discount", IF(W734&gt;0.5, "Invalid: Exceeds Allowed Discount", "OK")))</f>
        <v>OK</v>
      </c>
    </row>
    <row r="735" spans="1:30">
      <c r="A735" t="s">
        <v>3411</v>
      </c>
      <c r="B735" t="str">
        <f t="shared" si="11"/>
        <v>Unique</v>
      </c>
      <c r="C735" s="3">
        <v>45464</v>
      </c>
      <c r="D735" s="3">
        <v>45471</v>
      </c>
      <c r="E735" t="s">
        <v>3413</v>
      </c>
      <c r="F735" t="s">
        <v>162</v>
      </c>
      <c r="G735" t="s">
        <v>115</v>
      </c>
      <c r="H735" t="s">
        <v>27</v>
      </c>
      <c r="I735" t="s">
        <v>28</v>
      </c>
      <c r="J735" t="s">
        <v>29</v>
      </c>
      <c r="K735" t="s">
        <v>45</v>
      </c>
      <c r="L735" t="s">
        <v>65</v>
      </c>
      <c r="M735" t="s">
        <v>3414</v>
      </c>
      <c r="N735" t="s">
        <v>56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34</v>
      </c>
      <c r="V735" t="s">
        <v>35</v>
      </c>
      <c r="W735">
        <f>IF(ISBLANK(Q735), 0, IFERROR(VALUE(Q735), 0.7))</f>
        <v>0</v>
      </c>
      <c r="X735">
        <f>D735 - C735</f>
        <v>7</v>
      </c>
      <c r="Y735">
        <f>O735 * P735 * (1 - W735)</f>
        <v>25181.64</v>
      </c>
      <c r="Z735">
        <f>Y735 - S735</f>
        <v>9843.74</v>
      </c>
      <c r="AA735">
        <f>IFERROR(Z735 / Y735, 0)</f>
        <v>0.39090940860086953</v>
      </c>
      <c r="AB735" t="str">
        <f>TEXT(C735, "mmmm")</f>
        <v>June</v>
      </c>
      <c r="AC735">
        <f>YEAR(C735)</f>
        <v>2024</v>
      </c>
      <c r="AD735" t="str">
        <f>IF(X735&lt;0, "Invalid: Ship Date Before Order Date", IF(W735&lt;0, "Invalid: Negative Discount", IF(W735&gt;0.5, "Invalid: Exceeds Allowed Discount", "OK")))</f>
        <v>OK</v>
      </c>
    </row>
    <row r="736" spans="1:30">
      <c r="A736" t="s">
        <v>3415</v>
      </c>
      <c r="B736" t="str">
        <f t="shared" si="11"/>
        <v>Unique</v>
      </c>
      <c r="C736" s="3">
        <v>45528</v>
      </c>
      <c r="D736" s="3">
        <v>45528</v>
      </c>
      <c r="E736" t="s">
        <v>3417</v>
      </c>
      <c r="F736" t="s">
        <v>72</v>
      </c>
      <c r="G736" t="s">
        <v>41</v>
      </c>
      <c r="H736" t="s">
        <v>27</v>
      </c>
      <c r="I736" t="s">
        <v>28</v>
      </c>
      <c r="J736" t="s">
        <v>29</v>
      </c>
      <c r="K736" t="s">
        <v>86</v>
      </c>
      <c r="L736" t="s">
        <v>87</v>
      </c>
      <c r="M736" t="s">
        <v>3418</v>
      </c>
      <c r="N736" t="s">
        <v>56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34</v>
      </c>
      <c r="V736" t="s">
        <v>35</v>
      </c>
      <c r="W736">
        <f>IF(ISBLANK(Q736), 0, IFERROR(VALUE(Q736), 0.7))</f>
        <v>0.2</v>
      </c>
      <c r="X736">
        <f>D736 - C736</f>
        <v>0</v>
      </c>
      <c r="Y736">
        <f>O736 * P736 * (1 - W736)</f>
        <v>8837.9520000000011</v>
      </c>
      <c r="Z736">
        <f>Y736 - S736</f>
        <v>2680.6820000000007</v>
      </c>
      <c r="AA736">
        <f>IFERROR(Z736 / Y736, 0)</f>
        <v>0.30331484036120587</v>
      </c>
      <c r="AB736" t="str">
        <f>TEXT(C736, "mmmm")</f>
        <v>August</v>
      </c>
      <c r="AC736">
        <f>YEAR(C736)</f>
        <v>2024</v>
      </c>
      <c r="AD736" t="str">
        <f>IF(X736&lt;0, "Invalid: Ship Date Before Order Date", IF(W736&lt;0, "Invalid: Negative Discount", IF(W736&gt;0.5, "Invalid: Exceeds Allowed Discount", "OK")))</f>
        <v>OK</v>
      </c>
    </row>
    <row r="737" spans="1:30">
      <c r="A737" t="s">
        <v>3419</v>
      </c>
      <c r="B737" t="str">
        <f t="shared" si="11"/>
        <v>Unique</v>
      </c>
      <c r="C737" s="3">
        <v>45515</v>
      </c>
      <c r="D737" s="3">
        <v>45523</v>
      </c>
      <c r="E737" t="s">
        <v>3421</v>
      </c>
      <c r="F737" t="s">
        <v>40</v>
      </c>
      <c r="G737" t="s">
        <v>26</v>
      </c>
      <c r="H737" t="s">
        <v>73</v>
      </c>
      <c r="I737" t="s">
        <v>74</v>
      </c>
      <c r="J737" t="s">
        <v>75</v>
      </c>
      <c r="K737" t="s">
        <v>45</v>
      </c>
      <c r="L737" t="s">
        <v>46</v>
      </c>
      <c r="M737" t="s">
        <v>3422</v>
      </c>
      <c r="N737" t="s">
        <v>67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34</v>
      </c>
      <c r="V737" t="s">
        <v>35</v>
      </c>
      <c r="W737">
        <f>IF(ISBLANK(Q737), 0, IFERROR(VALUE(Q737), 0.7))</f>
        <v>0.2</v>
      </c>
      <c r="X737">
        <f>D737 - C737</f>
        <v>8</v>
      </c>
      <c r="Y737">
        <f>O737 * P737 * (1 - W737)</f>
        <v>7275.7920000000004</v>
      </c>
      <c r="Z737">
        <f>Y737 - S737</f>
        <v>1122.9220000000005</v>
      </c>
      <c r="AA737">
        <f>IFERROR(Z737 / Y737, 0)</f>
        <v>0.15433673749881804</v>
      </c>
      <c r="AB737" t="str">
        <f>TEXT(C737, "mmmm")</f>
        <v>August</v>
      </c>
      <c r="AC737">
        <f>YEAR(C737)</f>
        <v>2024</v>
      </c>
      <c r="AD737" t="str">
        <f>IF(X737&lt;0, "Invalid: Ship Date Before Order Date", IF(W737&lt;0, "Invalid: Negative Discount", IF(W737&gt;0.5, "Invalid: Exceeds Allowed Discount", "OK")))</f>
        <v>OK</v>
      </c>
    </row>
    <row r="738" spans="1:30">
      <c r="A738" t="s">
        <v>3423</v>
      </c>
      <c r="B738" t="str">
        <f t="shared" si="11"/>
        <v>Unique</v>
      </c>
      <c r="C738" s="3">
        <v>45632</v>
      </c>
      <c r="D738" s="3">
        <v>45547</v>
      </c>
      <c r="E738" t="s">
        <v>3425</v>
      </c>
      <c r="F738" t="s">
        <v>107</v>
      </c>
      <c r="G738" t="s">
        <v>26</v>
      </c>
      <c r="H738" t="s">
        <v>73</v>
      </c>
      <c r="I738" t="s">
        <v>74</v>
      </c>
      <c r="J738" t="s">
        <v>75</v>
      </c>
      <c r="K738" t="s">
        <v>45</v>
      </c>
      <c r="L738" t="s">
        <v>76</v>
      </c>
      <c r="M738" t="s">
        <v>3426</v>
      </c>
      <c r="N738" t="s">
        <v>33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34</v>
      </c>
      <c r="V738" t="s">
        <v>35</v>
      </c>
      <c r="W738">
        <f>IF(ISBLANK(Q738), 0, IFERROR(VALUE(Q738), 0.7))</f>
        <v>0.1</v>
      </c>
      <c r="X738">
        <f>D738 - C738</f>
        <v>-85</v>
      </c>
      <c r="Y738">
        <f>O738 * P738 * (1 - W738)</f>
        <v>2355.0750000000003</v>
      </c>
      <c r="Z738">
        <f>Y738 - S738</f>
        <v>1005.0450000000003</v>
      </c>
      <c r="AA738">
        <f>IFERROR(Z738 / Y738, 0)</f>
        <v>0.42675710964618968</v>
      </c>
      <c r="AB738" t="str">
        <f>TEXT(C738, "mmmm")</f>
        <v>December</v>
      </c>
      <c r="AC738">
        <f>YEAR(C738)</f>
        <v>2024</v>
      </c>
      <c r="AD738" t="str">
        <f>IF(X738&lt;0, "Invalid: Ship Date Before Order Date", IF(W738&lt;0, "Invalid: Negative Discount", IF(W738&gt;0.5, "Invalid: Exceeds Allowed Discount", "OK")))</f>
        <v>Invalid: Ship Date Before Order Date</v>
      </c>
    </row>
    <row r="739" spans="1:30">
      <c r="A739" t="s">
        <v>3427</v>
      </c>
      <c r="B739" t="str">
        <f t="shared" si="11"/>
        <v>Unique</v>
      </c>
      <c r="C739" s="3">
        <v>45332</v>
      </c>
      <c r="D739" s="3">
        <v>45332</v>
      </c>
      <c r="E739" t="s">
        <v>3428</v>
      </c>
      <c r="F739" t="s">
        <v>53</v>
      </c>
      <c r="G739" t="s">
        <v>115</v>
      </c>
      <c r="H739" t="s">
        <v>73</v>
      </c>
      <c r="I739" t="s">
        <v>74</v>
      </c>
      <c r="J739" t="s">
        <v>75</v>
      </c>
      <c r="K739" t="s">
        <v>45</v>
      </c>
      <c r="L739" t="s">
        <v>76</v>
      </c>
      <c r="M739" t="s">
        <v>3429</v>
      </c>
      <c r="N739" t="s">
        <v>48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34</v>
      </c>
      <c r="V739" t="s">
        <v>35</v>
      </c>
      <c r="W739">
        <f>IF(ISBLANK(Q739), 0, IFERROR(VALUE(Q739), 0.7))</f>
        <v>0</v>
      </c>
      <c r="X739">
        <f>D739 - C739</f>
        <v>0</v>
      </c>
      <c r="Y739">
        <f>O739 * P739 * (1 - W739)</f>
        <v>3609.12</v>
      </c>
      <c r="Z739">
        <f>Y739 - S739</f>
        <v>963.61999999999989</v>
      </c>
      <c r="AA739">
        <f>IFERROR(Z739 / Y739, 0)</f>
        <v>0.2669958327791816</v>
      </c>
      <c r="AB739" t="str">
        <f>TEXT(C739, "mmmm")</f>
        <v>February</v>
      </c>
      <c r="AC739">
        <f>YEAR(C739)</f>
        <v>2024</v>
      </c>
      <c r="AD739" t="str">
        <f>IF(X739&lt;0, "Invalid: Ship Date Before Order Date", IF(W739&lt;0, "Invalid: Negative Discount", IF(W739&gt;0.5, "Invalid: Exceeds Allowed Discount", "OK")))</f>
        <v>OK</v>
      </c>
    </row>
    <row r="740" spans="1:30">
      <c r="A740" t="s">
        <v>3430</v>
      </c>
      <c r="B740" t="str">
        <f t="shared" si="11"/>
        <v>Unique</v>
      </c>
      <c r="C740" s="3">
        <v>45708</v>
      </c>
      <c r="D740" s="3">
        <v>45710</v>
      </c>
      <c r="E740" t="s">
        <v>3432</v>
      </c>
      <c r="F740" t="s">
        <v>142</v>
      </c>
      <c r="G740" t="s">
        <v>108</v>
      </c>
      <c r="H740" t="s">
        <v>62</v>
      </c>
      <c r="I740" t="s">
        <v>242</v>
      </c>
      <c r="J740" t="s">
        <v>243</v>
      </c>
      <c r="K740" t="s">
        <v>30</v>
      </c>
      <c r="L740" t="s">
        <v>31</v>
      </c>
      <c r="M740" t="s">
        <v>3433</v>
      </c>
      <c r="N740" t="s">
        <v>56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34</v>
      </c>
      <c r="V740" t="s">
        <v>35</v>
      </c>
      <c r="W740">
        <f>IF(ISBLANK(Q740), 0, IFERROR(VALUE(Q740), 0.7))</f>
        <v>0</v>
      </c>
      <c r="X740">
        <f>D740 - C740</f>
        <v>2</v>
      </c>
      <c r="Y740">
        <f>O740 * P740 * (1 - W740)</f>
        <v>2188.19</v>
      </c>
      <c r="Z740">
        <f>Y740 - S740</f>
        <v>889.35000000000014</v>
      </c>
      <c r="AA740">
        <f>IFERROR(Z740 / Y740, 0)</f>
        <v>0.40643179979800664</v>
      </c>
      <c r="AB740" t="str">
        <f>TEXT(C740, "mmmm")</f>
        <v>February</v>
      </c>
      <c r="AC740">
        <f>YEAR(C740)</f>
        <v>2025</v>
      </c>
      <c r="AD740" t="str">
        <f>IF(X740&lt;0, "Invalid: Ship Date Before Order Date", IF(W740&lt;0, "Invalid: Negative Discount", IF(W740&gt;0.5, "Invalid: Exceeds Allowed Discount", "OK")))</f>
        <v>OK</v>
      </c>
    </row>
    <row r="741" spans="1:30">
      <c r="A741" t="s">
        <v>3434</v>
      </c>
      <c r="B741" t="str">
        <f t="shared" si="11"/>
        <v>Unique</v>
      </c>
      <c r="C741" s="3">
        <v>45629</v>
      </c>
      <c r="D741" s="3">
        <v>45636</v>
      </c>
      <c r="E741" t="s">
        <v>3437</v>
      </c>
      <c r="F741" t="s">
        <v>93</v>
      </c>
      <c r="G741" t="s">
        <v>108</v>
      </c>
      <c r="H741" t="s">
        <v>27</v>
      </c>
      <c r="I741" t="s">
        <v>28</v>
      </c>
      <c r="J741" t="s">
        <v>29</v>
      </c>
      <c r="K741" t="s">
        <v>86</v>
      </c>
      <c r="L741" t="s">
        <v>223</v>
      </c>
      <c r="M741" t="s">
        <v>3438</v>
      </c>
      <c r="N741" t="s">
        <v>67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34</v>
      </c>
      <c r="V741" t="s">
        <v>35</v>
      </c>
      <c r="W741">
        <f>IF(ISBLANK(Q741), 0, IFERROR(VALUE(Q741), 0.7))</f>
        <v>0.05</v>
      </c>
      <c r="X741">
        <f>D741 - C741</f>
        <v>7</v>
      </c>
      <c r="Y741">
        <f>O741 * P741 * (1 - W741)</f>
        <v>11370.835000000001</v>
      </c>
      <c r="Z741">
        <f>Y741 - S741</f>
        <v>3901.255000000001</v>
      </c>
      <c r="AA741">
        <f>IFERROR(Z741 / Y741, 0)</f>
        <v>0.34309309738466881</v>
      </c>
      <c r="AB741" t="str">
        <f>TEXT(C741, "mmmm")</f>
        <v>December</v>
      </c>
      <c r="AC741">
        <f>YEAR(C741)</f>
        <v>2024</v>
      </c>
      <c r="AD741" t="str">
        <f>IF(X741&lt;0, "Invalid: Ship Date Before Order Date", IF(W741&lt;0, "Invalid: Negative Discount", IF(W741&gt;0.5, "Invalid: Exceeds Allowed Discount", "OK")))</f>
        <v>OK</v>
      </c>
    </row>
    <row r="742" spans="1:30">
      <c r="A742" t="s">
        <v>3439</v>
      </c>
      <c r="B742" t="str">
        <f t="shared" si="11"/>
        <v>Unique</v>
      </c>
      <c r="C742" s="3">
        <v>45384</v>
      </c>
      <c r="D742" s="3">
        <v>45384</v>
      </c>
      <c r="E742" t="s">
        <v>778</v>
      </c>
      <c r="F742" t="s">
        <v>168</v>
      </c>
      <c r="G742" t="s">
        <v>41</v>
      </c>
      <c r="H742" t="s">
        <v>73</v>
      </c>
      <c r="I742" t="s">
        <v>74</v>
      </c>
      <c r="J742" t="s">
        <v>75</v>
      </c>
      <c r="K742" t="s">
        <v>45</v>
      </c>
      <c r="L742" t="s">
        <v>76</v>
      </c>
      <c r="M742" t="s">
        <v>3441</v>
      </c>
      <c r="N742" t="s">
        <v>56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34</v>
      </c>
      <c r="V742" t="s">
        <v>35</v>
      </c>
      <c r="W742">
        <f>IF(ISBLANK(Q742), 0, IFERROR(VALUE(Q742), 0.7))</f>
        <v>0.1</v>
      </c>
      <c r="X742">
        <f>D742 - C742</f>
        <v>0</v>
      </c>
      <c r="Y742">
        <f>O742 * P742 * (1 - W742)</f>
        <v>9298.8000000000011</v>
      </c>
      <c r="Z742">
        <f>Y742 - S742</f>
        <v>2750.3000000000011</v>
      </c>
      <c r="AA742">
        <f>IFERROR(Z742 / Y742, 0)</f>
        <v>0.29576934658235482</v>
      </c>
      <c r="AB742" t="str">
        <f>TEXT(C742, "mmmm")</f>
        <v>April</v>
      </c>
      <c r="AC742">
        <f>YEAR(C742)</f>
        <v>2024</v>
      </c>
      <c r="AD742" t="str">
        <f>IF(X742&lt;0, "Invalid: Ship Date Before Order Date", IF(W742&lt;0, "Invalid: Negative Discount", IF(W742&gt;0.5, "Invalid: Exceeds Allowed Discount", "OK")))</f>
        <v>OK</v>
      </c>
    </row>
    <row r="743" spans="1:30">
      <c r="A743" t="s">
        <v>3442</v>
      </c>
      <c r="B743" t="str">
        <f t="shared" si="11"/>
        <v>Unique</v>
      </c>
      <c r="C743" s="3">
        <v>45770</v>
      </c>
      <c r="D743" s="3">
        <v>45772</v>
      </c>
      <c r="E743" t="s">
        <v>3445</v>
      </c>
      <c r="F743" t="s">
        <v>53</v>
      </c>
      <c r="G743" t="s">
        <v>115</v>
      </c>
      <c r="H743" t="s">
        <v>62</v>
      </c>
      <c r="I743" t="s">
        <v>339</v>
      </c>
      <c r="J743" t="s">
        <v>340</v>
      </c>
      <c r="K743" t="s">
        <v>45</v>
      </c>
      <c r="L743" t="s">
        <v>76</v>
      </c>
      <c r="M743" t="s">
        <v>3446</v>
      </c>
      <c r="N743" t="s">
        <v>33</v>
      </c>
      <c r="O743">
        <v>3</v>
      </c>
      <c r="P743">
        <v>2951.12</v>
      </c>
      <c r="R743">
        <v>7082.69</v>
      </c>
      <c r="S743">
        <v>5596.34</v>
      </c>
      <c r="T743">
        <v>1486.35</v>
      </c>
      <c r="U743" t="s">
        <v>34</v>
      </c>
      <c r="V743" t="s">
        <v>78</v>
      </c>
      <c r="W743">
        <f>IF(ISBLANK(Q743), 0, IFERROR(VALUE(Q743), 0.7))</f>
        <v>0</v>
      </c>
      <c r="X743">
        <f>D743 - C743</f>
        <v>2</v>
      </c>
      <c r="Y743">
        <f>O743 * P743 * (1 - W743)</f>
        <v>8853.36</v>
      </c>
      <c r="Z743">
        <f>Y743 - S743</f>
        <v>3257.0200000000004</v>
      </c>
      <c r="AA743">
        <f>IFERROR(Z743 / Y743, 0)</f>
        <v>0.36788518709280998</v>
      </c>
      <c r="AB743" t="str">
        <f>TEXT(C743, "mmmm")</f>
        <v>April</v>
      </c>
      <c r="AC743">
        <f>YEAR(C743)</f>
        <v>2025</v>
      </c>
      <c r="AD743" t="str">
        <f>IF(X743&lt;0, "Invalid: Ship Date Before Order Date", IF(W743&lt;0, "Invalid: Negative Discount", IF(W743&gt;0.5, "Invalid: Exceeds Allowed Discount", "OK")))</f>
        <v>OK</v>
      </c>
    </row>
    <row r="744" spans="1:30">
      <c r="A744" t="s">
        <v>3447</v>
      </c>
      <c r="B744" t="str">
        <f t="shared" si="11"/>
        <v>Unique</v>
      </c>
      <c r="C744" s="3">
        <v>45580</v>
      </c>
      <c r="D744" s="3">
        <v>45587</v>
      </c>
      <c r="E744" t="s">
        <v>3450</v>
      </c>
      <c r="F744" t="s">
        <v>25</v>
      </c>
      <c r="G744" t="s">
        <v>108</v>
      </c>
      <c r="H744" t="s">
        <v>42</v>
      </c>
      <c r="I744" t="s">
        <v>43</v>
      </c>
      <c r="J744" t="s">
        <v>44</v>
      </c>
      <c r="K744" t="s">
        <v>30</v>
      </c>
      <c r="L744" t="s">
        <v>31</v>
      </c>
      <c r="M744" t="s">
        <v>3452</v>
      </c>
      <c r="N744" t="s">
        <v>67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34</v>
      </c>
      <c r="V744" t="s">
        <v>35</v>
      </c>
      <c r="W744">
        <f>IF(ISBLANK(Q744), 0, IFERROR(VALUE(Q744), 0.7))</f>
        <v>0</v>
      </c>
      <c r="X744">
        <f>D744 - C744</f>
        <v>7</v>
      </c>
      <c r="Y744">
        <f>O744 * P744 * (1 - W744)</f>
        <v>9043.7999999999993</v>
      </c>
      <c r="Z744">
        <f>Y744 - S744</f>
        <v>3130.4199999999992</v>
      </c>
      <c r="AA744">
        <f>IFERROR(Z744 / Y744, 0)</f>
        <v>0.34613989694597397</v>
      </c>
      <c r="AB744" t="str">
        <f>TEXT(C744, "mmmm")</f>
        <v>October</v>
      </c>
      <c r="AC744">
        <f>YEAR(C744)</f>
        <v>2024</v>
      </c>
      <c r="AD744" t="str">
        <f>IF(X744&lt;0, "Invalid: Ship Date Before Order Date", IF(W744&lt;0, "Invalid: Negative Discount", IF(W744&gt;0.5, "Invalid: Exceeds Allowed Discount", "OK")))</f>
        <v>OK</v>
      </c>
    </row>
    <row r="745" spans="1:30">
      <c r="A745" t="s">
        <v>3453</v>
      </c>
      <c r="B745" t="str">
        <f t="shared" si="11"/>
        <v>Unique</v>
      </c>
      <c r="C745" s="3">
        <v>45700</v>
      </c>
      <c r="D745" s="3">
        <v>45702</v>
      </c>
      <c r="E745" t="s">
        <v>3454</v>
      </c>
      <c r="F745" t="s">
        <v>168</v>
      </c>
      <c r="G745" t="s">
        <v>26</v>
      </c>
      <c r="H745" t="s">
        <v>27</v>
      </c>
      <c r="I745" t="s">
        <v>174</v>
      </c>
      <c r="J745" t="s">
        <v>175</v>
      </c>
      <c r="K745" t="s">
        <v>30</v>
      </c>
      <c r="L745" t="s">
        <v>54</v>
      </c>
      <c r="M745" t="s">
        <v>3455</v>
      </c>
      <c r="N745" t="s">
        <v>67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34</v>
      </c>
      <c r="V745" t="s">
        <v>35</v>
      </c>
      <c r="W745">
        <f>IF(ISBLANK(Q745), 0, IFERROR(VALUE(Q745), 0.7))</f>
        <v>0.25</v>
      </c>
      <c r="X745">
        <f>D745 - C745</f>
        <v>2</v>
      </c>
      <c r="Y745">
        <f>O745 * P745 * (1 - W745)</f>
        <v>2211.2999999999997</v>
      </c>
      <c r="Z745">
        <f>Y745 - S745</f>
        <v>475.65999999999963</v>
      </c>
      <c r="AA745">
        <f>IFERROR(Z745 / Y745, 0)</f>
        <v>0.21510423732645942</v>
      </c>
      <c r="AB745" t="str">
        <f>TEXT(C745, "mmmm")</f>
        <v>February</v>
      </c>
      <c r="AC745">
        <f>YEAR(C745)</f>
        <v>2025</v>
      </c>
      <c r="AD745" t="str">
        <f>IF(X745&lt;0, "Invalid: Ship Date Before Order Date", IF(W745&lt;0, "Invalid: Negative Discount", IF(W745&gt;0.5, "Invalid: Exceeds Allowed Discount", "OK")))</f>
        <v>OK</v>
      </c>
    </row>
    <row r="746" spans="1:30">
      <c r="A746" t="s">
        <v>3456</v>
      </c>
      <c r="B746" t="str">
        <f t="shared" si="11"/>
        <v>Unique</v>
      </c>
      <c r="C746" s="3">
        <v>45886</v>
      </c>
      <c r="D746" s="3">
        <v>45889</v>
      </c>
      <c r="E746" t="s">
        <v>3458</v>
      </c>
      <c r="F746" t="s">
        <v>40</v>
      </c>
      <c r="G746" t="s">
        <v>115</v>
      </c>
      <c r="H746" t="s">
        <v>27</v>
      </c>
      <c r="I746" t="s">
        <v>154</v>
      </c>
      <c r="J746" t="s">
        <v>155</v>
      </c>
      <c r="K746" t="s">
        <v>30</v>
      </c>
      <c r="L746" t="s">
        <v>198</v>
      </c>
      <c r="M746" t="s">
        <v>3459</v>
      </c>
      <c r="N746" t="s">
        <v>56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34</v>
      </c>
      <c r="V746" t="s">
        <v>78</v>
      </c>
      <c r="W746">
        <f>IF(ISBLANK(Q746), 0, IFERROR(VALUE(Q746), 0.7))</f>
        <v>0.1</v>
      </c>
      <c r="X746">
        <f>D746 - C746</f>
        <v>3</v>
      </c>
      <c r="Y746">
        <f>O746 * P746 * (1 - W746)</f>
        <v>12158.504999999999</v>
      </c>
      <c r="Z746">
        <f>Y746 - S746</f>
        <v>1898.4349999999995</v>
      </c>
      <c r="AA746">
        <f>IFERROR(Z746 / Y746, 0)</f>
        <v>0.15614049589155901</v>
      </c>
      <c r="AB746" t="str">
        <f>TEXT(C746, "mmmm")</f>
        <v>August</v>
      </c>
      <c r="AC746">
        <f>YEAR(C746)</f>
        <v>2025</v>
      </c>
      <c r="AD746" t="str">
        <f>IF(X746&lt;0, "Invalid: Ship Date Before Order Date", IF(W746&lt;0, "Invalid: Negative Discount", IF(W746&gt;0.5, "Invalid: Exceeds Allowed Discount", "OK")))</f>
        <v>OK</v>
      </c>
    </row>
    <row r="747" spans="1:30">
      <c r="A747" t="s">
        <v>3460</v>
      </c>
      <c r="B747" t="str">
        <f t="shared" si="11"/>
        <v>Unique</v>
      </c>
      <c r="C747" s="3">
        <v>45589</v>
      </c>
      <c r="D747" s="3">
        <v>45593</v>
      </c>
      <c r="E747" t="s">
        <v>3463</v>
      </c>
      <c r="F747" t="s">
        <v>40</v>
      </c>
      <c r="G747" t="s">
        <v>41</v>
      </c>
      <c r="H747" t="s">
        <v>42</v>
      </c>
      <c r="I747" t="s">
        <v>216</v>
      </c>
      <c r="J747" t="s">
        <v>217</v>
      </c>
      <c r="K747" t="s">
        <v>86</v>
      </c>
      <c r="L747" t="s">
        <v>94</v>
      </c>
      <c r="M747" t="s">
        <v>3464</v>
      </c>
      <c r="N747" t="s">
        <v>67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34</v>
      </c>
      <c r="V747" t="s">
        <v>35</v>
      </c>
      <c r="W747">
        <f>IF(ISBLANK(Q747), 0, IFERROR(VALUE(Q747), 0.7))</f>
        <v>0.2</v>
      </c>
      <c r="X747">
        <f>D747 - C747</f>
        <v>4</v>
      </c>
      <c r="Y747">
        <f>O747 * P747 * (1 - W747)</f>
        <v>1736.616</v>
      </c>
      <c r="Z747">
        <f>Y747 - S747</f>
        <v>677.096</v>
      </c>
      <c r="AA747">
        <f>IFERROR(Z747 / Y747, 0)</f>
        <v>0.38989390861307277</v>
      </c>
      <c r="AB747" t="str">
        <f>TEXT(C747, "mmmm")</f>
        <v>October</v>
      </c>
      <c r="AC747">
        <f>YEAR(C747)</f>
        <v>2024</v>
      </c>
      <c r="AD747" t="str">
        <f>IF(X747&lt;0, "Invalid: Ship Date Before Order Date", IF(W747&lt;0, "Invalid: Negative Discount", IF(W747&gt;0.5, "Invalid: Exceeds Allowed Discount", "OK")))</f>
        <v>OK</v>
      </c>
    </row>
    <row r="748" spans="1:30">
      <c r="A748" t="s">
        <v>3465</v>
      </c>
      <c r="B748" t="str">
        <f t="shared" si="11"/>
        <v>Unique</v>
      </c>
      <c r="C748" s="3">
        <v>45661</v>
      </c>
      <c r="D748" s="3">
        <v>45931</v>
      </c>
      <c r="E748" t="s">
        <v>3053</v>
      </c>
      <c r="F748" t="s">
        <v>162</v>
      </c>
      <c r="G748" t="s">
        <v>115</v>
      </c>
      <c r="H748" t="s">
        <v>42</v>
      </c>
      <c r="I748" t="s">
        <v>121</v>
      </c>
      <c r="J748" t="s">
        <v>122</v>
      </c>
      <c r="K748" t="s">
        <v>30</v>
      </c>
      <c r="L748" t="s">
        <v>31</v>
      </c>
      <c r="M748" t="s">
        <v>3467</v>
      </c>
      <c r="N748" t="s">
        <v>67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34</v>
      </c>
      <c r="V748" t="s">
        <v>35</v>
      </c>
      <c r="W748">
        <f>IF(ISBLANK(Q748), 0, IFERROR(VALUE(Q748), 0.7))</f>
        <v>0.2</v>
      </c>
      <c r="X748">
        <f>D748 - C748</f>
        <v>270</v>
      </c>
      <c r="Y748">
        <f>O748 * P748 * (1 - W748)</f>
        <v>8266.2080000000005</v>
      </c>
      <c r="Z748">
        <f>Y748 - S748</f>
        <v>2029.8880000000008</v>
      </c>
      <c r="AA748">
        <f>IFERROR(Z748 / Y748, 0)</f>
        <v>0.24556459261610653</v>
      </c>
      <c r="AB748" t="str">
        <f>TEXT(C748, "mmmm")</f>
        <v>January</v>
      </c>
      <c r="AC748">
        <f>YEAR(C748)</f>
        <v>2025</v>
      </c>
      <c r="AD748" t="str">
        <f>IF(X748&lt;0, "Invalid: Ship Date Before Order Date", IF(W748&lt;0, "Invalid: Negative Discount", IF(W748&gt;0.5, "Invalid: Exceeds Allowed Discount", "OK")))</f>
        <v>OK</v>
      </c>
    </row>
    <row r="749" spans="1:30">
      <c r="A749" t="s">
        <v>3468</v>
      </c>
      <c r="B749" t="str">
        <f t="shared" si="11"/>
        <v>Unique</v>
      </c>
      <c r="C749" s="3">
        <v>45413</v>
      </c>
      <c r="D749" s="3">
        <v>45419</v>
      </c>
      <c r="E749" t="s">
        <v>3471</v>
      </c>
      <c r="F749" t="s">
        <v>53</v>
      </c>
      <c r="G749" t="s">
        <v>115</v>
      </c>
      <c r="H749" t="s">
        <v>42</v>
      </c>
      <c r="I749" t="s">
        <v>43</v>
      </c>
      <c r="J749" t="s">
        <v>44</v>
      </c>
      <c r="K749" t="s">
        <v>30</v>
      </c>
      <c r="L749" t="s">
        <v>31</v>
      </c>
      <c r="M749" t="s">
        <v>3472</v>
      </c>
      <c r="N749" t="s">
        <v>48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34</v>
      </c>
      <c r="V749" t="s">
        <v>35</v>
      </c>
      <c r="W749">
        <f>IF(ISBLANK(Q749), 0, IFERROR(VALUE(Q749), 0.7))</f>
        <v>0.15</v>
      </c>
      <c r="X749">
        <f>D749 - C749</f>
        <v>6</v>
      </c>
      <c r="Y749">
        <f>O749 * P749 * (1 - W749)</f>
        <v>10022.044</v>
      </c>
      <c r="Z749">
        <f>Y749 - S749</f>
        <v>4445.0640000000003</v>
      </c>
      <c r="AA749">
        <f>IFERROR(Z749 / Y749, 0)</f>
        <v>0.44352868536597928</v>
      </c>
      <c r="AB749" t="str">
        <f>TEXT(C749, "mmmm")</f>
        <v>May</v>
      </c>
      <c r="AC749">
        <f>YEAR(C749)</f>
        <v>2024</v>
      </c>
      <c r="AD749" t="str">
        <f>IF(X749&lt;0, "Invalid: Ship Date Before Order Date", IF(W749&lt;0, "Invalid: Negative Discount", IF(W749&gt;0.5, "Invalid: Exceeds Allowed Discount", "OK")))</f>
        <v>OK</v>
      </c>
    </row>
    <row r="750" spans="1:30">
      <c r="A750" t="s">
        <v>3473</v>
      </c>
      <c r="B750" t="str">
        <f t="shared" si="11"/>
        <v>Unique</v>
      </c>
      <c r="C750" s="3">
        <v>45442</v>
      </c>
      <c r="D750" s="3">
        <v>45442</v>
      </c>
      <c r="E750" t="s">
        <v>3476</v>
      </c>
      <c r="F750" t="s">
        <v>210</v>
      </c>
      <c r="G750" t="s">
        <v>115</v>
      </c>
      <c r="H750" t="s">
        <v>27</v>
      </c>
      <c r="I750" t="s">
        <v>323</v>
      </c>
      <c r="J750" t="s">
        <v>324</v>
      </c>
      <c r="K750" t="s">
        <v>86</v>
      </c>
      <c r="L750" t="s">
        <v>223</v>
      </c>
      <c r="M750" t="s">
        <v>3477</v>
      </c>
      <c r="N750" t="s">
        <v>33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34</v>
      </c>
      <c r="V750" t="s">
        <v>35</v>
      </c>
      <c r="W750">
        <f>IF(ISBLANK(Q750), 0, IFERROR(VALUE(Q750), 0.7))</f>
        <v>0.25</v>
      </c>
      <c r="X750">
        <f>D750 - C750</f>
        <v>0</v>
      </c>
      <c r="Y750">
        <f>O750 * P750 * (1 - W750)</f>
        <v>2886.0299999999997</v>
      </c>
      <c r="Z750">
        <f>Y750 - S750</f>
        <v>821.19999999999982</v>
      </c>
      <c r="AA750">
        <f>IFERROR(Z750 / Y750, 0)</f>
        <v>0.28454312671732446</v>
      </c>
      <c r="AB750" t="str">
        <f>TEXT(C750, "mmmm")</f>
        <v>May</v>
      </c>
      <c r="AC750">
        <f>YEAR(C750)</f>
        <v>2024</v>
      </c>
      <c r="AD750" t="str">
        <f>IF(X750&lt;0, "Invalid: Ship Date Before Order Date", IF(W750&lt;0, "Invalid: Negative Discount", IF(W750&gt;0.5, "Invalid: Exceeds Allowed Discount", "OK")))</f>
        <v>OK</v>
      </c>
    </row>
    <row r="751" spans="1:30">
      <c r="A751" t="s">
        <v>3478</v>
      </c>
      <c r="B751" t="str">
        <f t="shared" si="11"/>
        <v>Unique</v>
      </c>
      <c r="C751" s="3">
        <v>45372</v>
      </c>
      <c r="D751" s="3">
        <v>45376</v>
      </c>
      <c r="E751" t="s">
        <v>3481</v>
      </c>
      <c r="F751" t="s">
        <v>107</v>
      </c>
      <c r="G751" t="s">
        <v>115</v>
      </c>
      <c r="H751" t="s">
        <v>42</v>
      </c>
      <c r="I751" t="s">
        <v>216</v>
      </c>
      <c r="J751" t="s">
        <v>217</v>
      </c>
      <c r="K751" t="s">
        <v>86</v>
      </c>
      <c r="L751" t="s">
        <v>382</v>
      </c>
      <c r="M751" t="s">
        <v>3482</v>
      </c>
      <c r="N751" t="s">
        <v>67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34</v>
      </c>
      <c r="V751" t="s">
        <v>35</v>
      </c>
      <c r="W751">
        <f>IF(ISBLANK(Q751), 0, IFERROR(VALUE(Q751), 0.7))</f>
        <v>0.15</v>
      </c>
      <c r="X751">
        <f>D751 - C751</f>
        <v>4</v>
      </c>
      <c r="Y751">
        <f>O751 * P751 * (1 - W751)</f>
        <v>1459.1949999999999</v>
      </c>
      <c r="Z751">
        <f>Y751 - S751</f>
        <v>403.40499999999997</v>
      </c>
      <c r="AA751">
        <f>IFERROR(Z751 / Y751, 0)</f>
        <v>0.27645722470266137</v>
      </c>
      <c r="AB751" t="str">
        <f>TEXT(C751, "mmmm")</f>
        <v>March</v>
      </c>
      <c r="AC751">
        <f>YEAR(C751)</f>
        <v>2024</v>
      </c>
      <c r="AD751" t="str">
        <f>IF(X751&lt;0, "Invalid: Ship Date Before Order Date", IF(W751&lt;0, "Invalid: Negative Discount", IF(W751&gt;0.5, "Invalid: Exceeds Allowed Discount", "OK")))</f>
        <v>OK</v>
      </c>
    </row>
    <row r="752" spans="1:30">
      <c r="A752" t="s">
        <v>3483</v>
      </c>
      <c r="B752" t="str">
        <f t="shared" si="11"/>
        <v>Unique</v>
      </c>
      <c r="C752" s="3">
        <v>45810</v>
      </c>
      <c r="D752" s="3">
        <v>45810</v>
      </c>
      <c r="E752" t="s">
        <v>3485</v>
      </c>
      <c r="F752" t="s">
        <v>162</v>
      </c>
      <c r="G752" t="s">
        <v>115</v>
      </c>
      <c r="H752" t="s">
        <v>62</v>
      </c>
      <c r="I752" t="s">
        <v>63</v>
      </c>
      <c r="J752" t="s">
        <v>64</v>
      </c>
      <c r="K752" t="s">
        <v>86</v>
      </c>
      <c r="L752" t="s">
        <v>87</v>
      </c>
      <c r="M752" t="s">
        <v>3486</v>
      </c>
      <c r="N752" t="s">
        <v>56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34</v>
      </c>
      <c r="V752" t="s">
        <v>35</v>
      </c>
      <c r="W752">
        <f>IF(ISBLANK(Q752), 0, IFERROR(VALUE(Q752), 0.7))</f>
        <v>0.15</v>
      </c>
      <c r="X752">
        <f>D752 - C752</f>
        <v>0</v>
      </c>
      <c r="Y752">
        <f>O752 * P752 * (1 - W752)</f>
        <v>26696.323999999997</v>
      </c>
      <c r="Z752">
        <f>Y752 - S752</f>
        <v>3971.8039999999964</v>
      </c>
      <c r="AA752">
        <f>IFERROR(Z752 / Y752, 0)</f>
        <v>0.14877718745097629</v>
      </c>
      <c r="AB752" t="str">
        <f>TEXT(C752, "mmmm")</f>
        <v>June</v>
      </c>
      <c r="AC752">
        <f>YEAR(C752)</f>
        <v>2025</v>
      </c>
      <c r="AD752" t="str">
        <f>IF(X752&lt;0, "Invalid: Ship Date Before Order Date", IF(W752&lt;0, "Invalid: Negative Discount", IF(W752&gt;0.5, "Invalid: Exceeds Allowed Discount", "OK")))</f>
        <v>OK</v>
      </c>
    </row>
    <row r="753" spans="1:30">
      <c r="A753" t="s">
        <v>3487</v>
      </c>
      <c r="B753" t="str">
        <f t="shared" si="11"/>
        <v>Unique</v>
      </c>
      <c r="C753" s="3">
        <v>45856</v>
      </c>
      <c r="D753" s="3">
        <v>45857</v>
      </c>
      <c r="E753" t="s">
        <v>3489</v>
      </c>
      <c r="F753" t="s">
        <v>142</v>
      </c>
      <c r="G753" t="s">
        <v>115</v>
      </c>
      <c r="H753" t="s">
        <v>4110</v>
      </c>
      <c r="I753" t="s">
        <v>174</v>
      </c>
      <c r="J753" t="s">
        <v>175</v>
      </c>
      <c r="K753" t="s">
        <v>86</v>
      </c>
      <c r="L753" t="s">
        <v>382</v>
      </c>
      <c r="M753" t="s">
        <v>3490</v>
      </c>
      <c r="N753" t="s">
        <v>4110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34</v>
      </c>
      <c r="V753" t="s">
        <v>35</v>
      </c>
      <c r="W753">
        <f>IF(ISBLANK(Q753), 0, IFERROR(VALUE(Q753), 0.7))</f>
        <v>0.05</v>
      </c>
      <c r="X753">
        <f>D753 - C753</f>
        <v>1</v>
      </c>
      <c r="Y753">
        <f>O753 * P753 * (1 - W753)</f>
        <v>8445.2624999999989</v>
      </c>
      <c r="Z753">
        <f>Y753 - S753</f>
        <v>1507.6624999999985</v>
      </c>
      <c r="AA753">
        <f>IFERROR(Z753 / Y753, 0)</f>
        <v>0.17852168597482893</v>
      </c>
      <c r="AB753" t="str">
        <f>TEXT(C753, "mmmm")</f>
        <v>July</v>
      </c>
      <c r="AC753">
        <f>YEAR(C753)</f>
        <v>2025</v>
      </c>
      <c r="AD753" t="str">
        <f>IF(X753&lt;0, "Invalid: Ship Date Before Order Date", IF(W753&lt;0, "Invalid: Negative Discount", IF(W753&gt;0.5, "Invalid: Exceeds Allowed Discount", "OK")))</f>
        <v>OK</v>
      </c>
    </row>
    <row r="754" spans="1:30">
      <c r="A754" t="s">
        <v>3491</v>
      </c>
      <c r="B754" t="str">
        <f t="shared" si="11"/>
        <v>Unique</v>
      </c>
      <c r="C754" s="3">
        <v>45375</v>
      </c>
      <c r="D754" s="3">
        <v>45378</v>
      </c>
      <c r="E754" t="s">
        <v>3492</v>
      </c>
      <c r="F754" t="s">
        <v>107</v>
      </c>
      <c r="G754" t="s">
        <v>108</v>
      </c>
      <c r="H754" t="s">
        <v>73</v>
      </c>
      <c r="I754" t="s">
        <v>235</v>
      </c>
      <c r="J754" t="s">
        <v>236</v>
      </c>
      <c r="K754" t="s">
        <v>30</v>
      </c>
      <c r="L754" t="s">
        <v>156</v>
      </c>
      <c r="M754" t="s">
        <v>3493</v>
      </c>
      <c r="N754" t="s">
        <v>56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34</v>
      </c>
      <c r="V754" t="s">
        <v>35</v>
      </c>
      <c r="W754">
        <f>IF(ISBLANK(Q754), 0, IFERROR(VALUE(Q754), 0.7))</f>
        <v>0.05</v>
      </c>
      <c r="X754">
        <f>D754 - C754</f>
        <v>3</v>
      </c>
      <c r="Y754">
        <f>O754 * P754 * (1 - W754)</f>
        <v>11709.794999999998</v>
      </c>
      <c r="Z754">
        <f>Y754 - S754</f>
        <v>3337.5049999999974</v>
      </c>
      <c r="AA754">
        <f>IFERROR(Z754 / Y754, 0)</f>
        <v>0.28501822619439521</v>
      </c>
      <c r="AB754" t="str">
        <f>TEXT(C754, "mmmm")</f>
        <v>March</v>
      </c>
      <c r="AC754">
        <f>YEAR(C754)</f>
        <v>2024</v>
      </c>
      <c r="AD754" t="str">
        <f>IF(X754&lt;0, "Invalid: Ship Date Before Order Date", IF(W754&lt;0, "Invalid: Negative Discount", IF(W754&gt;0.5, "Invalid: Exceeds Allowed Discount", "OK")))</f>
        <v>OK</v>
      </c>
    </row>
    <row r="755" spans="1:30">
      <c r="A755" t="s">
        <v>3494</v>
      </c>
      <c r="B755" t="str">
        <f t="shared" si="11"/>
        <v>Unique</v>
      </c>
      <c r="C755" s="3">
        <v>45515</v>
      </c>
      <c r="D755" s="3">
        <v>45573</v>
      </c>
      <c r="E755" t="s">
        <v>3495</v>
      </c>
      <c r="F755" t="s">
        <v>107</v>
      </c>
      <c r="G755" t="s">
        <v>108</v>
      </c>
      <c r="H755" t="s">
        <v>27</v>
      </c>
      <c r="I755" t="s">
        <v>506</v>
      </c>
      <c r="J755" t="s">
        <v>507</v>
      </c>
      <c r="K755" t="s">
        <v>45</v>
      </c>
      <c r="L755" t="s">
        <v>65</v>
      </c>
      <c r="M755" t="s">
        <v>3496</v>
      </c>
      <c r="N755" t="s">
        <v>33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200</v>
      </c>
      <c r="V755" t="s">
        <v>125</v>
      </c>
      <c r="W755">
        <f>IF(ISBLANK(Q755), 0, IFERROR(VALUE(Q755), 0.7))</f>
        <v>0.15</v>
      </c>
      <c r="X755">
        <f>D755 - C755</f>
        <v>58</v>
      </c>
      <c r="Y755">
        <f>O755 * P755 * (1 - W755)</f>
        <v>2593.9109999999996</v>
      </c>
      <c r="Z755">
        <f>Y755 - S755</f>
        <v>745.43099999999959</v>
      </c>
      <c r="AA755">
        <f>IFERROR(Z755 / Y755, 0)</f>
        <v>0.28737724617382776</v>
      </c>
      <c r="AB755" t="str">
        <f>TEXT(C755, "mmmm")</f>
        <v>August</v>
      </c>
      <c r="AC755">
        <f>YEAR(C755)</f>
        <v>2024</v>
      </c>
      <c r="AD755" t="str">
        <f>IF(X755&lt;0, "Invalid: Ship Date Before Order Date", IF(W755&lt;0, "Invalid: Negative Discount", IF(W755&gt;0.5, "Invalid: Exceeds Allowed Discount", "OK")))</f>
        <v>OK</v>
      </c>
    </row>
    <row r="756" spans="1:30">
      <c r="A756" t="s">
        <v>3497</v>
      </c>
      <c r="B756" t="str">
        <f t="shared" si="11"/>
        <v>Unique</v>
      </c>
      <c r="C756" s="3">
        <v>45812</v>
      </c>
      <c r="D756" s="3">
        <v>45812</v>
      </c>
      <c r="E756" t="s">
        <v>3499</v>
      </c>
      <c r="F756" t="s">
        <v>93</v>
      </c>
      <c r="G756" t="s">
        <v>108</v>
      </c>
      <c r="H756" t="s">
        <v>62</v>
      </c>
      <c r="I756" t="s">
        <v>242</v>
      </c>
      <c r="J756" t="s">
        <v>243</v>
      </c>
      <c r="K756" t="s">
        <v>30</v>
      </c>
      <c r="L756" t="s">
        <v>156</v>
      </c>
      <c r="M756" t="s">
        <v>3500</v>
      </c>
      <c r="N756" t="s">
        <v>67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34</v>
      </c>
      <c r="V756" t="s">
        <v>35</v>
      </c>
      <c r="W756">
        <f>IF(ISBLANK(Q756), 0, IFERROR(VALUE(Q756), 0.7))</f>
        <v>0.25</v>
      </c>
      <c r="X756">
        <f>D756 - C756</f>
        <v>0</v>
      </c>
      <c r="Y756">
        <f>O756 * P756 * (1 - W756)</f>
        <v>2674.02</v>
      </c>
      <c r="Z756">
        <f>Y756 - S756</f>
        <v>466.44999999999982</v>
      </c>
      <c r="AA756">
        <f>IFERROR(Z756 / Y756, 0)</f>
        <v>0.17443773793763689</v>
      </c>
      <c r="AB756" t="str">
        <f>TEXT(C756, "mmmm")</f>
        <v>June</v>
      </c>
      <c r="AC756">
        <f>YEAR(C756)</f>
        <v>2025</v>
      </c>
      <c r="AD756" t="str">
        <f>IF(X756&lt;0, "Invalid: Ship Date Before Order Date", IF(W756&lt;0, "Invalid: Negative Discount", IF(W756&gt;0.5, "Invalid: Exceeds Allowed Discount", "OK")))</f>
        <v>OK</v>
      </c>
    </row>
    <row r="757" spans="1:30">
      <c r="A757" t="s">
        <v>3501</v>
      </c>
      <c r="B757" t="str">
        <f t="shared" si="11"/>
        <v>Unique</v>
      </c>
      <c r="C757" s="3">
        <v>45858</v>
      </c>
      <c r="D757" s="3">
        <v>45862</v>
      </c>
      <c r="E757" t="s">
        <v>3502</v>
      </c>
      <c r="F757" t="s">
        <v>142</v>
      </c>
      <c r="G757" t="s">
        <v>115</v>
      </c>
      <c r="H757" t="s">
        <v>73</v>
      </c>
      <c r="I757" t="s">
        <v>84</v>
      </c>
      <c r="J757" t="s">
        <v>85</v>
      </c>
      <c r="K757" t="s">
        <v>30</v>
      </c>
      <c r="L757" t="s">
        <v>156</v>
      </c>
      <c r="M757" t="s">
        <v>3503</v>
      </c>
      <c r="N757" t="s">
        <v>33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34</v>
      </c>
      <c r="V757" t="s">
        <v>35</v>
      </c>
      <c r="W757">
        <f>IF(ISBLANK(Q757), 0, IFERROR(VALUE(Q757), 0.7))</f>
        <v>0.2</v>
      </c>
      <c r="X757">
        <f>D757 - C757</f>
        <v>4</v>
      </c>
      <c r="Y757">
        <f>O757 * P757 * (1 - W757)</f>
        <v>9926.9599999999991</v>
      </c>
      <c r="Z757">
        <f>Y757 - S757</f>
        <v>1931.9799999999996</v>
      </c>
      <c r="AA757">
        <f>IFERROR(Z757 / Y757, 0)</f>
        <v>0.19461950083409219</v>
      </c>
      <c r="AB757" t="str">
        <f>TEXT(C757, "mmmm")</f>
        <v>July</v>
      </c>
      <c r="AC757">
        <f>YEAR(C757)</f>
        <v>2025</v>
      </c>
      <c r="AD757" t="str">
        <f>IF(X757&lt;0, "Invalid: Ship Date Before Order Date", IF(W757&lt;0, "Invalid: Negative Discount", IF(W757&gt;0.5, "Invalid: Exceeds Allowed Discount", "OK")))</f>
        <v>OK</v>
      </c>
    </row>
    <row r="758" spans="1:30">
      <c r="A758" t="s">
        <v>3504</v>
      </c>
      <c r="B758" t="str">
        <f t="shared" si="11"/>
        <v>Unique</v>
      </c>
      <c r="C758" s="3">
        <v>45592</v>
      </c>
      <c r="D758" s="3">
        <v>45597</v>
      </c>
      <c r="E758" t="s">
        <v>3507</v>
      </c>
      <c r="F758" t="s">
        <v>180</v>
      </c>
      <c r="G758" t="s">
        <v>26</v>
      </c>
      <c r="H758" t="s">
        <v>27</v>
      </c>
      <c r="I758" t="s">
        <v>28</v>
      </c>
      <c r="J758" t="s">
        <v>29</v>
      </c>
      <c r="K758" t="s">
        <v>86</v>
      </c>
      <c r="L758" t="s">
        <v>87</v>
      </c>
      <c r="M758" t="s">
        <v>3508</v>
      </c>
      <c r="N758" t="s">
        <v>48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34</v>
      </c>
      <c r="V758" t="s">
        <v>125</v>
      </c>
      <c r="W758">
        <f>IF(ISBLANK(Q758), 0, IFERROR(VALUE(Q758), 0.7))</f>
        <v>0.2</v>
      </c>
      <c r="X758">
        <f>D758 - C758</f>
        <v>5</v>
      </c>
      <c r="Y758">
        <f>O758 * P758 * (1 - W758)</f>
        <v>12191.76</v>
      </c>
      <c r="Z758">
        <f>Y758 - S758</f>
        <v>1734.2700000000004</v>
      </c>
      <c r="AA758">
        <f>IFERROR(Z758 / Y758, 0)</f>
        <v>0.14224935530226976</v>
      </c>
      <c r="AB758" t="str">
        <f>TEXT(C758, "mmmm")</f>
        <v>October</v>
      </c>
      <c r="AC758">
        <f>YEAR(C758)</f>
        <v>2024</v>
      </c>
      <c r="AD758" t="str">
        <f>IF(X758&lt;0, "Invalid: Ship Date Before Order Date", IF(W758&lt;0, "Invalid: Negative Discount", IF(W758&gt;0.5, "Invalid: Exceeds Allowed Discount", "OK")))</f>
        <v>OK</v>
      </c>
    </row>
    <row r="759" spans="1:30">
      <c r="A759" t="s">
        <v>3509</v>
      </c>
      <c r="B759" t="str">
        <f t="shared" si="11"/>
        <v>Unique</v>
      </c>
      <c r="C759" s="3">
        <v>45870</v>
      </c>
      <c r="D759" s="3">
        <v>45872</v>
      </c>
      <c r="E759" t="s">
        <v>3512</v>
      </c>
      <c r="F759" t="s">
        <v>107</v>
      </c>
      <c r="G759" t="s">
        <v>41</v>
      </c>
      <c r="H759" t="s">
        <v>62</v>
      </c>
      <c r="I759" t="s">
        <v>242</v>
      </c>
      <c r="J759" t="s">
        <v>243</v>
      </c>
      <c r="K759" t="s">
        <v>45</v>
      </c>
      <c r="L759" t="s">
        <v>204</v>
      </c>
      <c r="M759" t="s">
        <v>3513</v>
      </c>
      <c r="N759" t="s">
        <v>67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200</v>
      </c>
      <c r="V759" t="s">
        <v>78</v>
      </c>
      <c r="W759">
        <f>IF(ISBLANK(Q759), 0, IFERROR(VALUE(Q759), 0.7))</f>
        <v>0.25</v>
      </c>
      <c r="X759">
        <f>D759 - C759</f>
        <v>2</v>
      </c>
      <c r="Y759">
        <f>O759 * P759 * (1 - W759)</f>
        <v>4285.7550000000001</v>
      </c>
      <c r="Z759">
        <f>Y759 - S759</f>
        <v>1899.4250000000002</v>
      </c>
      <c r="AA759">
        <f>IFERROR(Z759 / Y759, 0)</f>
        <v>0.44319495631458172</v>
      </c>
      <c r="AB759" t="str">
        <f>TEXT(C759, "mmmm")</f>
        <v>August</v>
      </c>
      <c r="AC759">
        <f>YEAR(C759)</f>
        <v>2025</v>
      </c>
      <c r="AD759" t="str">
        <f>IF(X759&lt;0, "Invalid: Ship Date Before Order Date", IF(W759&lt;0, "Invalid: Negative Discount", IF(W759&gt;0.5, "Invalid: Exceeds Allowed Discount", "OK")))</f>
        <v>OK</v>
      </c>
    </row>
    <row r="760" spans="1:30">
      <c r="A760" t="s">
        <v>3514</v>
      </c>
      <c r="B760" t="str">
        <f t="shared" si="11"/>
        <v>Unique</v>
      </c>
      <c r="C760" s="3">
        <v>45414</v>
      </c>
      <c r="D760" s="3">
        <v>45422</v>
      </c>
      <c r="E760" t="s">
        <v>3516</v>
      </c>
      <c r="F760" t="s">
        <v>162</v>
      </c>
      <c r="G760" t="s">
        <v>41</v>
      </c>
      <c r="H760" t="s">
        <v>62</v>
      </c>
      <c r="I760" t="s">
        <v>229</v>
      </c>
      <c r="J760" t="s">
        <v>230</v>
      </c>
      <c r="K760" t="s">
        <v>45</v>
      </c>
      <c r="L760" t="s">
        <v>76</v>
      </c>
      <c r="M760" t="s">
        <v>3517</v>
      </c>
      <c r="N760" t="s">
        <v>67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34</v>
      </c>
      <c r="V760" t="s">
        <v>35</v>
      </c>
      <c r="W760">
        <f>IF(ISBLANK(Q760), 0, IFERROR(VALUE(Q760), 0.7))</f>
        <v>0</v>
      </c>
      <c r="X760">
        <f>D760 - C760</f>
        <v>8</v>
      </c>
      <c r="Y760">
        <f>O760 * P760 * (1 - W760)</f>
        <v>4166.91</v>
      </c>
      <c r="Z760">
        <f>Y760 - S760</f>
        <v>754.27999999999975</v>
      </c>
      <c r="AA760">
        <f>IFERROR(Z760 / Y760, 0)</f>
        <v>0.18101662862888801</v>
      </c>
      <c r="AB760" t="str">
        <f>TEXT(C760, "mmmm")</f>
        <v>May</v>
      </c>
      <c r="AC760">
        <f>YEAR(C760)</f>
        <v>2024</v>
      </c>
      <c r="AD760" t="str">
        <f>IF(X760&lt;0, "Invalid: Ship Date Before Order Date", IF(W760&lt;0, "Invalid: Negative Discount", IF(W760&gt;0.5, "Invalid: Exceeds Allowed Discount", "OK")))</f>
        <v>OK</v>
      </c>
    </row>
    <row r="761" spans="1:30">
      <c r="A761" t="s">
        <v>3518</v>
      </c>
      <c r="B761" t="str">
        <f t="shared" si="11"/>
        <v>Unique</v>
      </c>
      <c r="C761" s="3">
        <v>45492</v>
      </c>
      <c r="D761" s="3">
        <v>45499</v>
      </c>
      <c r="E761" t="s">
        <v>3520</v>
      </c>
      <c r="F761" t="s">
        <v>61</v>
      </c>
      <c r="G761" t="s">
        <v>115</v>
      </c>
      <c r="H761" t="s">
        <v>62</v>
      </c>
      <c r="I761" t="s">
        <v>229</v>
      </c>
      <c r="J761" t="s">
        <v>230</v>
      </c>
      <c r="K761" t="s">
        <v>45</v>
      </c>
      <c r="L761" t="s">
        <v>46</v>
      </c>
      <c r="M761" t="s">
        <v>3521</v>
      </c>
      <c r="N761" t="s">
        <v>33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34</v>
      </c>
      <c r="V761" t="s">
        <v>35</v>
      </c>
      <c r="W761">
        <f>IF(ISBLANK(Q761), 0, IFERROR(VALUE(Q761), 0.7))</f>
        <v>0.25</v>
      </c>
      <c r="X761">
        <f>D761 - C761</f>
        <v>7</v>
      </c>
      <c r="Y761">
        <f>O761 * P761 * (1 - W761)</f>
        <v>14947.537500000002</v>
      </c>
      <c r="Z761">
        <f>Y761 - S761</f>
        <v>5509.0775000000031</v>
      </c>
      <c r="AA761">
        <f>IFERROR(Z761 / Y761, 0)</f>
        <v>0.36856087499362367</v>
      </c>
      <c r="AB761" t="str">
        <f>TEXT(C761, "mmmm")</f>
        <v>July</v>
      </c>
      <c r="AC761">
        <f>YEAR(C761)</f>
        <v>2024</v>
      </c>
      <c r="AD761" t="str">
        <f>IF(X761&lt;0, "Invalid: Ship Date Before Order Date", IF(W761&lt;0, "Invalid: Negative Discount", IF(W761&gt;0.5, "Invalid: Exceeds Allowed Discount", "OK")))</f>
        <v>OK</v>
      </c>
    </row>
    <row r="762" spans="1:30">
      <c r="A762" t="s">
        <v>3522</v>
      </c>
      <c r="B762" t="str">
        <f t="shared" si="11"/>
        <v>Unique</v>
      </c>
      <c r="C762" s="3">
        <v>45532</v>
      </c>
      <c r="D762" s="3">
        <v>45537</v>
      </c>
      <c r="E762" t="s">
        <v>3524</v>
      </c>
      <c r="F762" t="s">
        <v>107</v>
      </c>
      <c r="G762" t="s">
        <v>115</v>
      </c>
      <c r="H762" t="s">
        <v>42</v>
      </c>
      <c r="I762" t="s">
        <v>216</v>
      </c>
      <c r="J762" t="s">
        <v>217</v>
      </c>
      <c r="K762" t="s">
        <v>30</v>
      </c>
      <c r="L762" t="s">
        <v>54</v>
      </c>
      <c r="M762" t="s">
        <v>3525</v>
      </c>
      <c r="N762" t="s">
        <v>33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137</v>
      </c>
      <c r="V762" t="s">
        <v>125</v>
      </c>
      <c r="W762">
        <f>IF(ISBLANK(Q762), 0, IFERROR(VALUE(Q762), 0.7))</f>
        <v>0</v>
      </c>
      <c r="X762">
        <f>D762 - C762</f>
        <v>5</v>
      </c>
      <c r="Y762">
        <f>O762 * P762 * (1 - W762)</f>
        <v>13462.12</v>
      </c>
      <c r="Z762">
        <f>Y762 - S762</f>
        <v>5861.4900000000007</v>
      </c>
      <c r="AA762">
        <f>IFERROR(Z762 / Y762, 0)</f>
        <v>0.43540616188237813</v>
      </c>
      <c r="AB762" t="str">
        <f>TEXT(C762, "mmmm")</f>
        <v>August</v>
      </c>
      <c r="AC762">
        <f>YEAR(C762)</f>
        <v>2024</v>
      </c>
      <c r="AD762" t="str">
        <f>IF(X762&lt;0, "Invalid: Ship Date Before Order Date", IF(W762&lt;0, "Invalid: Negative Discount", IF(W762&gt;0.5, "Invalid: Exceeds Allowed Discount", "OK")))</f>
        <v>OK</v>
      </c>
    </row>
    <row r="763" spans="1:30">
      <c r="A763" t="s">
        <v>3526</v>
      </c>
      <c r="B763" t="str">
        <f t="shared" si="11"/>
        <v>Unique</v>
      </c>
      <c r="C763" s="3">
        <v>45896</v>
      </c>
      <c r="D763" s="3">
        <v>45900</v>
      </c>
      <c r="E763" t="s">
        <v>3528</v>
      </c>
      <c r="F763" t="s">
        <v>53</v>
      </c>
      <c r="G763" t="s">
        <v>26</v>
      </c>
      <c r="H763" t="s">
        <v>62</v>
      </c>
      <c r="I763" t="s">
        <v>229</v>
      </c>
      <c r="J763" t="s">
        <v>230</v>
      </c>
      <c r="K763" t="s">
        <v>86</v>
      </c>
      <c r="L763" t="s">
        <v>382</v>
      </c>
      <c r="M763" t="s">
        <v>3529</v>
      </c>
      <c r="N763" t="s">
        <v>56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34</v>
      </c>
      <c r="V763" t="s">
        <v>35</v>
      </c>
      <c r="W763">
        <f>IF(ISBLANK(Q763), 0, IFERROR(VALUE(Q763), 0.7))</f>
        <v>0</v>
      </c>
      <c r="X763">
        <f>D763 - C763</f>
        <v>4</v>
      </c>
      <c r="Y763">
        <f>O763 * P763 * (1 - W763)</f>
        <v>7467.36</v>
      </c>
      <c r="Z763">
        <f>Y763 - S763</f>
        <v>2456.75</v>
      </c>
      <c r="AA763">
        <f>IFERROR(Z763 / Y763, 0)</f>
        <v>0.32899846799940008</v>
      </c>
      <c r="AB763" t="str">
        <f>TEXT(C763, "mmmm")</f>
        <v>August</v>
      </c>
      <c r="AC763">
        <f>YEAR(C763)</f>
        <v>2025</v>
      </c>
      <c r="AD763" t="str">
        <f>IF(X763&lt;0, "Invalid: Ship Date Before Order Date", IF(W763&lt;0, "Invalid: Negative Discount", IF(W763&gt;0.5, "Invalid: Exceeds Allowed Discount", "OK")))</f>
        <v>OK</v>
      </c>
    </row>
    <row r="764" spans="1:30">
      <c r="A764" t="s">
        <v>3530</v>
      </c>
      <c r="B764" t="str">
        <f t="shared" si="11"/>
        <v>Unique</v>
      </c>
      <c r="C764" s="3">
        <v>45292</v>
      </c>
      <c r="D764" s="3">
        <v>45296</v>
      </c>
      <c r="E764" t="s">
        <v>3533</v>
      </c>
      <c r="F764" t="s">
        <v>210</v>
      </c>
      <c r="G764" t="s">
        <v>108</v>
      </c>
      <c r="H764" t="s">
        <v>73</v>
      </c>
      <c r="I764" t="s">
        <v>84</v>
      </c>
      <c r="J764" t="s">
        <v>85</v>
      </c>
      <c r="K764" t="s">
        <v>86</v>
      </c>
      <c r="L764" t="s">
        <v>382</v>
      </c>
      <c r="M764" t="s">
        <v>3534</v>
      </c>
      <c r="N764" t="s">
        <v>33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124</v>
      </c>
      <c r="V764" t="s">
        <v>125</v>
      </c>
      <c r="W764">
        <f>IF(ISBLANK(Q764), 0, IFERROR(VALUE(Q764), 0.7))</f>
        <v>0.2</v>
      </c>
      <c r="X764">
        <f>D764 - C764</f>
        <v>4</v>
      </c>
      <c r="Y764">
        <f>O764 * P764 * (1 - W764)</f>
        <v>5910.5920000000006</v>
      </c>
      <c r="Z764">
        <f>Y764 - S764</f>
        <v>1135.152000000001</v>
      </c>
      <c r="AA764">
        <f>IFERROR(Z764 / Y764, 0)</f>
        <v>0.19205385856442145</v>
      </c>
      <c r="AB764" t="str">
        <f>TEXT(C764, "mmmm")</f>
        <v>January</v>
      </c>
      <c r="AC764">
        <f>YEAR(C764)</f>
        <v>2024</v>
      </c>
      <c r="AD764" t="str">
        <f>IF(X764&lt;0, "Invalid: Ship Date Before Order Date", IF(W764&lt;0, "Invalid: Negative Discount", IF(W764&gt;0.5, "Invalid: Exceeds Allowed Discount", "OK")))</f>
        <v>OK</v>
      </c>
    </row>
    <row r="765" spans="1:30">
      <c r="A765" t="s">
        <v>3535</v>
      </c>
      <c r="B765" t="str">
        <f t="shared" si="11"/>
        <v>Unique</v>
      </c>
      <c r="C765" s="3">
        <v>45892</v>
      </c>
      <c r="D765" s="3">
        <v>45894</v>
      </c>
      <c r="E765" t="s">
        <v>3538</v>
      </c>
      <c r="F765" t="s">
        <v>210</v>
      </c>
      <c r="G765" t="s">
        <v>26</v>
      </c>
      <c r="H765" t="s">
        <v>27</v>
      </c>
      <c r="I765" t="s">
        <v>28</v>
      </c>
      <c r="J765" t="s">
        <v>29</v>
      </c>
      <c r="K765" t="s">
        <v>45</v>
      </c>
      <c r="L765" t="s">
        <v>65</v>
      </c>
      <c r="M765" t="s">
        <v>3539</v>
      </c>
      <c r="N765" t="s">
        <v>48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34</v>
      </c>
      <c r="V765" t="s">
        <v>35</v>
      </c>
      <c r="W765">
        <f>IF(ISBLANK(Q765), 0, IFERROR(VALUE(Q765), 0.7))</f>
        <v>0</v>
      </c>
      <c r="X765">
        <f>D765 - C765</f>
        <v>2</v>
      </c>
      <c r="Y765">
        <f>O765 * P765 * (1 - W765)</f>
        <v>16454.88</v>
      </c>
      <c r="Z765">
        <f>Y765 - S765</f>
        <v>4373.34</v>
      </c>
      <c r="AA765">
        <f>IFERROR(Z765 / Y765, 0)</f>
        <v>0.26577769026574488</v>
      </c>
      <c r="AB765" t="str">
        <f>TEXT(C765, "mmmm")</f>
        <v>August</v>
      </c>
      <c r="AC765">
        <f>YEAR(C765)</f>
        <v>2025</v>
      </c>
      <c r="AD765" t="str">
        <f>IF(X765&lt;0, "Invalid: Ship Date Before Order Date", IF(W765&lt;0, "Invalid: Negative Discount", IF(W765&gt;0.5, "Invalid: Exceeds Allowed Discount", "OK")))</f>
        <v>OK</v>
      </c>
    </row>
    <row r="766" spans="1:30">
      <c r="A766" t="s">
        <v>3540</v>
      </c>
      <c r="B766" t="str">
        <f t="shared" si="11"/>
        <v>Unique</v>
      </c>
      <c r="C766" s="3">
        <v>45760</v>
      </c>
      <c r="D766" s="3">
        <v>45760</v>
      </c>
      <c r="E766" t="s">
        <v>1354</v>
      </c>
      <c r="F766" t="s">
        <v>142</v>
      </c>
      <c r="G766" t="s">
        <v>108</v>
      </c>
      <c r="H766" t="s">
        <v>62</v>
      </c>
      <c r="I766" t="s">
        <v>242</v>
      </c>
      <c r="J766" t="s">
        <v>243</v>
      </c>
      <c r="K766" t="s">
        <v>45</v>
      </c>
      <c r="L766" t="s">
        <v>204</v>
      </c>
      <c r="M766" t="s">
        <v>3541</v>
      </c>
      <c r="N766" t="s">
        <v>56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34</v>
      </c>
      <c r="V766" t="s">
        <v>35</v>
      </c>
      <c r="W766">
        <f>IF(ISBLANK(Q766), 0, IFERROR(VALUE(Q766), 0.7))</f>
        <v>0.05</v>
      </c>
      <c r="X766">
        <f>D766 - C766</f>
        <v>0</v>
      </c>
      <c r="Y766">
        <f>O766 * P766 * (1 - W766)</f>
        <v>25159.8</v>
      </c>
      <c r="Z766">
        <f>Y766 - S766</f>
        <v>3552.9699999999975</v>
      </c>
      <c r="AA766">
        <f>IFERROR(Z766 / Y766, 0)</f>
        <v>0.14121614639226057</v>
      </c>
      <c r="AB766" t="str">
        <f>TEXT(C766, "mmmm")</f>
        <v>April</v>
      </c>
      <c r="AC766">
        <f>YEAR(C766)</f>
        <v>2025</v>
      </c>
      <c r="AD766" t="str">
        <f>IF(X766&lt;0, "Invalid: Ship Date Before Order Date", IF(W766&lt;0, "Invalid: Negative Discount", IF(W766&gt;0.5, "Invalid: Exceeds Allowed Discount", "OK")))</f>
        <v>OK</v>
      </c>
    </row>
    <row r="767" spans="1:30">
      <c r="A767" t="s">
        <v>3542</v>
      </c>
      <c r="B767" t="str">
        <f t="shared" si="11"/>
        <v>Unique</v>
      </c>
      <c r="C767" s="3">
        <v>45837</v>
      </c>
      <c r="D767" s="3">
        <v>45841</v>
      </c>
      <c r="E767" t="s">
        <v>3545</v>
      </c>
      <c r="F767" t="s">
        <v>83</v>
      </c>
      <c r="G767" t="s">
        <v>108</v>
      </c>
      <c r="H767" t="s">
        <v>42</v>
      </c>
      <c r="I767" t="s">
        <v>311</v>
      </c>
      <c r="J767" t="s">
        <v>312</v>
      </c>
      <c r="K767" t="s">
        <v>30</v>
      </c>
      <c r="L767" t="s">
        <v>109</v>
      </c>
      <c r="M767" t="s">
        <v>3546</v>
      </c>
      <c r="N767" t="s">
        <v>56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34</v>
      </c>
      <c r="V767" t="s">
        <v>35</v>
      </c>
      <c r="W767">
        <f>IF(ISBLANK(Q767), 0, IFERROR(VALUE(Q767), 0.7))</f>
        <v>0</v>
      </c>
      <c r="X767">
        <f>D767 - C767</f>
        <v>4</v>
      </c>
      <c r="Y767">
        <f>O767 * P767 * (1 - W767)</f>
        <v>1824.42</v>
      </c>
      <c r="Z767">
        <f>Y767 - S767</f>
        <v>609.55000000000018</v>
      </c>
      <c r="AA767">
        <f>IFERROR(Z767 / Y767, 0)</f>
        <v>0.33410618169061956</v>
      </c>
      <c r="AB767" t="str">
        <f>TEXT(C767, "mmmm")</f>
        <v>June</v>
      </c>
      <c r="AC767">
        <f>YEAR(C767)</f>
        <v>2025</v>
      </c>
      <c r="AD767" t="str">
        <f>IF(X767&lt;0, "Invalid: Ship Date Before Order Date", IF(W767&lt;0, "Invalid: Negative Discount", IF(W767&gt;0.5, "Invalid: Exceeds Allowed Discount", "OK")))</f>
        <v>OK</v>
      </c>
    </row>
    <row r="768" spans="1:30">
      <c r="A768" t="s">
        <v>3547</v>
      </c>
      <c r="B768" t="str">
        <f t="shared" si="11"/>
        <v>Unique</v>
      </c>
      <c r="C768" s="3">
        <v>45552</v>
      </c>
      <c r="D768" s="3">
        <v>45559</v>
      </c>
      <c r="E768" t="s">
        <v>3549</v>
      </c>
      <c r="F768" t="s">
        <v>40</v>
      </c>
      <c r="G768" t="s">
        <v>108</v>
      </c>
      <c r="H768" t="s">
        <v>73</v>
      </c>
      <c r="I768" t="s">
        <v>235</v>
      </c>
      <c r="J768" t="s">
        <v>236</v>
      </c>
      <c r="K768" t="s">
        <v>30</v>
      </c>
      <c r="L768" t="s">
        <v>54</v>
      </c>
      <c r="M768" t="s">
        <v>3550</v>
      </c>
      <c r="N768" t="s">
        <v>33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34</v>
      </c>
      <c r="V768" t="s">
        <v>78</v>
      </c>
      <c r="W768">
        <f>IF(ISBLANK(Q768), 0, IFERROR(VALUE(Q768), 0.7))</f>
        <v>0.2</v>
      </c>
      <c r="X768">
        <f>D768 - C768</f>
        <v>7</v>
      </c>
      <c r="Y768">
        <f>O768 * P768 * (1 - W768)</f>
        <v>16617.312000000002</v>
      </c>
      <c r="Z768">
        <f>Y768 - S768</f>
        <v>7421.5820000000022</v>
      </c>
      <c r="AA768">
        <f>IFERROR(Z768 / Y768, 0)</f>
        <v>0.44661747940942564</v>
      </c>
      <c r="AB768" t="str">
        <f>TEXT(C768, "mmmm")</f>
        <v>September</v>
      </c>
      <c r="AC768">
        <f>YEAR(C768)</f>
        <v>2024</v>
      </c>
      <c r="AD768" t="str">
        <f>IF(X768&lt;0, "Invalid: Ship Date Before Order Date", IF(W768&lt;0, "Invalid: Negative Discount", IF(W768&gt;0.5, "Invalid: Exceeds Allowed Discount", "OK")))</f>
        <v>OK</v>
      </c>
    </row>
    <row r="769" spans="1:30">
      <c r="A769" t="s">
        <v>3551</v>
      </c>
      <c r="B769" t="str">
        <f t="shared" si="11"/>
        <v>Unique</v>
      </c>
      <c r="C769" s="3">
        <v>45415</v>
      </c>
      <c r="D769" s="3">
        <v>45418</v>
      </c>
      <c r="E769" t="s">
        <v>3553</v>
      </c>
      <c r="F769" t="s">
        <v>72</v>
      </c>
      <c r="G769" t="s">
        <v>115</v>
      </c>
      <c r="H769" t="s">
        <v>27</v>
      </c>
      <c r="I769" t="s">
        <v>174</v>
      </c>
      <c r="J769" t="s">
        <v>175</v>
      </c>
      <c r="K769" t="s">
        <v>30</v>
      </c>
      <c r="L769" t="s">
        <v>198</v>
      </c>
      <c r="M769" t="s">
        <v>3554</v>
      </c>
      <c r="N769" t="s">
        <v>67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34</v>
      </c>
      <c r="V769" t="s">
        <v>35</v>
      </c>
      <c r="W769">
        <f>IF(ISBLANK(Q769), 0, IFERROR(VALUE(Q769), 0.7))</f>
        <v>0.25</v>
      </c>
      <c r="X769">
        <f>D769 - C769</f>
        <v>3</v>
      </c>
      <c r="Y769">
        <f>O769 * P769 * (1 - W769)</f>
        <v>933.43499999999995</v>
      </c>
      <c r="Z769">
        <f>Y769 - S769</f>
        <v>350.34499999999991</v>
      </c>
      <c r="AA769">
        <f>IFERROR(Z769 / Y769, 0)</f>
        <v>0.3753287588316272</v>
      </c>
      <c r="AB769" t="str">
        <f>TEXT(C769, "mmmm")</f>
        <v>May</v>
      </c>
      <c r="AC769">
        <f>YEAR(C769)</f>
        <v>2024</v>
      </c>
      <c r="AD769" t="str">
        <f>IF(X769&lt;0, "Invalid: Ship Date Before Order Date", IF(W769&lt;0, "Invalid: Negative Discount", IF(W769&gt;0.5, "Invalid: Exceeds Allowed Discount", "OK")))</f>
        <v>OK</v>
      </c>
    </row>
    <row r="770" spans="1:30">
      <c r="A770" t="s">
        <v>3555</v>
      </c>
      <c r="B770" t="str">
        <f t="shared" si="11"/>
        <v>Unique</v>
      </c>
      <c r="C770" s="3">
        <v>45749</v>
      </c>
      <c r="D770" s="3">
        <v>45751</v>
      </c>
      <c r="E770" t="s">
        <v>3557</v>
      </c>
      <c r="F770" t="s">
        <v>168</v>
      </c>
      <c r="G770" t="s">
        <v>115</v>
      </c>
      <c r="H770" t="s">
        <v>42</v>
      </c>
      <c r="I770" t="s">
        <v>311</v>
      </c>
      <c r="J770" t="s">
        <v>312</v>
      </c>
      <c r="K770" t="s">
        <v>30</v>
      </c>
      <c r="L770" t="s">
        <v>31</v>
      </c>
      <c r="M770" t="s">
        <v>3558</v>
      </c>
      <c r="N770" t="s">
        <v>48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34</v>
      </c>
      <c r="V770" t="s">
        <v>35</v>
      </c>
      <c r="W770">
        <f>IF(ISBLANK(Q770), 0, IFERROR(VALUE(Q770), 0.7))</f>
        <v>0.1</v>
      </c>
      <c r="X770">
        <f>D770 - C770</f>
        <v>2</v>
      </c>
      <c r="Y770">
        <f>O770 * P770 * (1 - W770)</f>
        <v>14554.08</v>
      </c>
      <c r="Z770">
        <f>Y770 - S770</f>
        <v>3387.24</v>
      </c>
      <c r="AA770">
        <f>IFERROR(Z770 / Y770, 0)</f>
        <v>0.23273473830018798</v>
      </c>
      <c r="AB770" t="str">
        <f>TEXT(C770, "mmmm")</f>
        <v>April</v>
      </c>
      <c r="AC770">
        <f>YEAR(C770)</f>
        <v>2025</v>
      </c>
      <c r="AD770" t="str">
        <f>IF(X770&lt;0, "Invalid: Ship Date Before Order Date", IF(W770&lt;0, "Invalid: Negative Discount", IF(W770&gt;0.5, "Invalid: Exceeds Allowed Discount", "OK")))</f>
        <v>OK</v>
      </c>
    </row>
    <row r="771" spans="1:30">
      <c r="A771" t="s">
        <v>3559</v>
      </c>
      <c r="B771" t="str">
        <f t="shared" ref="B771:B834" si="12">IF(COUNTIF(A:A, A771)&gt;1, "Review: Duplicate Order ID", "Unique")</f>
        <v>Unique</v>
      </c>
      <c r="C771" s="3">
        <v>45423</v>
      </c>
      <c r="D771" s="3">
        <v>45425</v>
      </c>
      <c r="E771" t="s">
        <v>3561</v>
      </c>
      <c r="F771" t="s">
        <v>142</v>
      </c>
      <c r="G771" t="s">
        <v>115</v>
      </c>
      <c r="H771" t="s">
        <v>73</v>
      </c>
      <c r="I771" t="s">
        <v>249</v>
      </c>
      <c r="J771" t="s">
        <v>250</v>
      </c>
      <c r="K771" t="s">
        <v>45</v>
      </c>
      <c r="L771" t="s">
        <v>204</v>
      </c>
      <c r="M771" t="s">
        <v>3562</v>
      </c>
      <c r="N771" t="s">
        <v>48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34</v>
      </c>
      <c r="V771" t="s">
        <v>35</v>
      </c>
      <c r="W771">
        <f>IF(ISBLANK(Q771), 0, IFERROR(VALUE(Q771), 0.7))</f>
        <v>0.25</v>
      </c>
      <c r="X771">
        <f>D771 - C771</f>
        <v>2</v>
      </c>
      <c r="Y771">
        <f>O771 * P771 * (1 - W771)</f>
        <v>8128.6875</v>
      </c>
      <c r="Z771">
        <f>Y771 - S771</f>
        <v>3057.0275000000001</v>
      </c>
      <c r="AA771">
        <f>IFERROR(Z771 / Y771, 0)</f>
        <v>0.3760788565189645</v>
      </c>
      <c r="AB771" t="str">
        <f>TEXT(C771, "mmmm")</f>
        <v>May</v>
      </c>
      <c r="AC771">
        <f>YEAR(C771)</f>
        <v>2024</v>
      </c>
      <c r="AD771" t="str">
        <f>IF(X771&lt;0, "Invalid: Ship Date Before Order Date", IF(W771&lt;0, "Invalid: Negative Discount", IF(W771&gt;0.5, "Invalid: Exceeds Allowed Discount", "OK")))</f>
        <v>OK</v>
      </c>
    </row>
    <row r="772" spans="1:30">
      <c r="A772" t="s">
        <v>3563</v>
      </c>
      <c r="B772" t="str">
        <f t="shared" si="12"/>
        <v>Unique</v>
      </c>
      <c r="C772" s="3">
        <v>45337</v>
      </c>
      <c r="D772" s="3">
        <v>45339</v>
      </c>
      <c r="E772" t="s">
        <v>3564</v>
      </c>
      <c r="F772" t="s">
        <v>93</v>
      </c>
      <c r="G772" t="s">
        <v>26</v>
      </c>
      <c r="H772" t="s">
        <v>27</v>
      </c>
      <c r="I772" t="s">
        <v>174</v>
      </c>
      <c r="J772" t="s">
        <v>175</v>
      </c>
      <c r="K772" t="s">
        <v>86</v>
      </c>
      <c r="L772" t="s">
        <v>94</v>
      </c>
      <c r="M772" t="s">
        <v>3565</v>
      </c>
      <c r="N772" t="s">
        <v>56</v>
      </c>
      <c r="O772">
        <v>4</v>
      </c>
      <c r="P772">
        <v>863</v>
      </c>
      <c r="R772">
        <v>3106.8</v>
      </c>
      <c r="S772">
        <v>2376.62</v>
      </c>
      <c r="T772">
        <v>730.18</v>
      </c>
      <c r="U772" t="s">
        <v>34</v>
      </c>
      <c r="V772" t="s">
        <v>35</v>
      </c>
      <c r="W772">
        <f>IF(ISBLANK(Q772), 0, IFERROR(VALUE(Q772), 0.7))</f>
        <v>0</v>
      </c>
      <c r="X772">
        <f>D772 - C772</f>
        <v>2</v>
      </c>
      <c r="Y772">
        <f>O772 * P772 * (1 - W772)</f>
        <v>3452</v>
      </c>
      <c r="Z772">
        <f>Y772 - S772</f>
        <v>1075.3800000000001</v>
      </c>
      <c r="AA772">
        <f>IFERROR(Z772 / Y772, 0)</f>
        <v>0.3115237543453071</v>
      </c>
      <c r="AB772" t="str">
        <f>TEXT(C772, "mmmm")</f>
        <v>February</v>
      </c>
      <c r="AC772">
        <f>YEAR(C772)</f>
        <v>2024</v>
      </c>
      <c r="AD772" t="str">
        <f>IF(X772&lt;0, "Invalid: Ship Date Before Order Date", IF(W772&lt;0, "Invalid: Negative Discount", IF(W772&gt;0.5, "Invalid: Exceeds Allowed Discount", "OK")))</f>
        <v>OK</v>
      </c>
    </row>
    <row r="773" spans="1:30">
      <c r="A773" t="s">
        <v>3566</v>
      </c>
      <c r="B773" t="str">
        <f t="shared" si="12"/>
        <v>Unique</v>
      </c>
      <c r="C773" s="3">
        <v>45485</v>
      </c>
      <c r="D773" s="3">
        <v>45487</v>
      </c>
      <c r="E773" t="s">
        <v>691</v>
      </c>
      <c r="F773" t="s">
        <v>72</v>
      </c>
      <c r="G773" t="s">
        <v>26</v>
      </c>
      <c r="H773" t="s">
        <v>27</v>
      </c>
      <c r="I773" t="s">
        <v>323</v>
      </c>
      <c r="J773" t="s">
        <v>324</v>
      </c>
      <c r="K773" t="s">
        <v>86</v>
      </c>
      <c r="L773" t="s">
        <v>382</v>
      </c>
      <c r="M773" t="s">
        <v>3568</v>
      </c>
      <c r="N773" t="s">
        <v>33</v>
      </c>
      <c r="O773">
        <v>4</v>
      </c>
      <c r="P773">
        <v>2131.41</v>
      </c>
      <c r="R773">
        <v>6394.23</v>
      </c>
      <c r="S773">
        <v>3520.69</v>
      </c>
      <c r="T773">
        <v>2873.54</v>
      </c>
      <c r="U773" t="s">
        <v>34</v>
      </c>
      <c r="V773" t="s">
        <v>35</v>
      </c>
      <c r="W773">
        <f>IF(ISBLANK(Q773), 0, IFERROR(VALUE(Q773), 0.7))</f>
        <v>0</v>
      </c>
      <c r="X773">
        <f>D773 - C773</f>
        <v>2</v>
      </c>
      <c r="Y773">
        <f>O773 * P773 * (1 - W773)</f>
        <v>8525.64</v>
      </c>
      <c r="Z773">
        <f>Y773 - S773</f>
        <v>5004.9499999999989</v>
      </c>
      <c r="AA773">
        <f>IFERROR(Z773 / Y773, 0)</f>
        <v>0.58704683753946907</v>
      </c>
      <c r="AB773" t="str">
        <f>TEXT(C773, "mmmm")</f>
        <v>July</v>
      </c>
      <c r="AC773">
        <f>YEAR(C773)</f>
        <v>2024</v>
      </c>
      <c r="AD773" t="str">
        <f>IF(X773&lt;0, "Invalid: Ship Date Before Order Date", IF(W773&lt;0, "Invalid: Negative Discount", IF(W773&gt;0.5, "Invalid: Exceeds Allowed Discount", "OK")))</f>
        <v>OK</v>
      </c>
    </row>
    <row r="774" spans="1:30">
      <c r="A774" t="s">
        <v>3569</v>
      </c>
      <c r="B774" t="str">
        <f t="shared" si="12"/>
        <v>Unique</v>
      </c>
      <c r="C774" s="3">
        <v>45853</v>
      </c>
      <c r="D774" s="3">
        <v>45857</v>
      </c>
      <c r="E774" t="s">
        <v>3570</v>
      </c>
      <c r="F774" t="s">
        <v>210</v>
      </c>
      <c r="G774" t="s">
        <v>26</v>
      </c>
      <c r="H774" t="s">
        <v>62</v>
      </c>
      <c r="I774" t="s">
        <v>339</v>
      </c>
      <c r="J774" t="s">
        <v>340</v>
      </c>
      <c r="K774" t="s">
        <v>45</v>
      </c>
      <c r="L774" t="s">
        <v>76</v>
      </c>
      <c r="M774" t="s">
        <v>3571</v>
      </c>
      <c r="N774" t="s">
        <v>48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137</v>
      </c>
      <c r="V774" t="s">
        <v>78</v>
      </c>
      <c r="W774">
        <f>IF(ISBLANK(Q774), 0, IFERROR(VALUE(Q774), 0.7))</f>
        <v>0.05</v>
      </c>
      <c r="X774">
        <f>D774 - C774</f>
        <v>4</v>
      </c>
      <c r="Y774">
        <f>O774 * P774 * (1 - W774)</f>
        <v>3708.0589999999997</v>
      </c>
      <c r="Z774">
        <f>Y774 - S774</f>
        <v>947.76899999999978</v>
      </c>
      <c r="AA774">
        <f>IFERROR(Z774 / Y774, 0)</f>
        <v>0.25559706574248142</v>
      </c>
      <c r="AB774" t="str">
        <f>TEXT(C774, "mmmm")</f>
        <v>July</v>
      </c>
      <c r="AC774">
        <f>YEAR(C774)</f>
        <v>2025</v>
      </c>
      <c r="AD774" t="str">
        <f>IF(X774&lt;0, "Invalid: Ship Date Before Order Date", IF(W774&lt;0, "Invalid: Negative Discount", IF(W774&gt;0.5, "Invalid: Exceeds Allowed Discount", "OK")))</f>
        <v>OK</v>
      </c>
    </row>
    <row r="775" spans="1:30">
      <c r="A775" t="s">
        <v>3572</v>
      </c>
      <c r="B775" t="str">
        <f t="shared" si="12"/>
        <v>Unique</v>
      </c>
      <c r="C775" s="3">
        <v>45709</v>
      </c>
      <c r="D775" s="3">
        <v>45709</v>
      </c>
      <c r="E775" t="s">
        <v>3575</v>
      </c>
      <c r="F775" t="s">
        <v>25</v>
      </c>
      <c r="G775" t="s">
        <v>115</v>
      </c>
      <c r="H775" t="s">
        <v>73</v>
      </c>
      <c r="I775" t="s">
        <v>235</v>
      </c>
      <c r="J775" t="s">
        <v>236</v>
      </c>
      <c r="K775" t="s">
        <v>86</v>
      </c>
      <c r="L775" t="s">
        <v>223</v>
      </c>
      <c r="M775" t="s">
        <v>3576</v>
      </c>
      <c r="N775" t="s">
        <v>4110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34</v>
      </c>
      <c r="V775" t="s">
        <v>35</v>
      </c>
      <c r="W775">
        <f>IF(ISBLANK(Q775), 0, IFERROR(VALUE(Q775), 0.7))</f>
        <v>0.2</v>
      </c>
      <c r="X775">
        <f>D775 - C775</f>
        <v>0</v>
      </c>
      <c r="Y775">
        <f>O775 * P775 * (1 - W775)</f>
        <v>9424.2240000000002</v>
      </c>
      <c r="Z775">
        <f>Y775 - S775</f>
        <v>3245.3040000000001</v>
      </c>
      <c r="AA775">
        <f>IFERROR(Z775 / Y775, 0)</f>
        <v>0.3443576892909167</v>
      </c>
      <c r="AB775" t="str">
        <f>TEXT(C775, "mmmm")</f>
        <v>February</v>
      </c>
      <c r="AC775">
        <f>YEAR(C775)</f>
        <v>2025</v>
      </c>
      <c r="AD775" t="str">
        <f>IF(X775&lt;0, "Invalid: Ship Date Before Order Date", IF(W775&lt;0, "Invalid: Negative Discount", IF(W775&gt;0.5, "Invalid: Exceeds Allowed Discount", "OK")))</f>
        <v>OK</v>
      </c>
    </row>
    <row r="776" spans="1:30">
      <c r="A776" t="s">
        <v>3577</v>
      </c>
      <c r="B776" t="str">
        <f t="shared" si="12"/>
        <v>Unique</v>
      </c>
      <c r="C776" s="3">
        <v>45846</v>
      </c>
      <c r="D776" s="3">
        <v>45876</v>
      </c>
      <c r="E776" t="s">
        <v>3579</v>
      </c>
      <c r="F776" t="s">
        <v>366</v>
      </c>
      <c r="G776" t="s">
        <v>26</v>
      </c>
      <c r="H776" t="s">
        <v>73</v>
      </c>
      <c r="I776" t="s">
        <v>28</v>
      </c>
      <c r="J776" t="s">
        <v>135</v>
      </c>
      <c r="K776" t="s">
        <v>86</v>
      </c>
      <c r="L776" t="s">
        <v>382</v>
      </c>
      <c r="M776" t="s">
        <v>3580</v>
      </c>
      <c r="N776" t="s">
        <v>4110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34</v>
      </c>
      <c r="V776" t="s">
        <v>35</v>
      </c>
      <c r="W776">
        <f>IF(ISBLANK(Q776), 0, IFERROR(VALUE(Q776), 0.7))</f>
        <v>0.2</v>
      </c>
      <c r="X776">
        <f>D776 - C776</f>
        <v>30</v>
      </c>
      <c r="Y776">
        <f>O776 * P776 * (1 - W776)</f>
        <v>7752.6</v>
      </c>
      <c r="Z776">
        <f>Y776 - S776</f>
        <v>3063.3</v>
      </c>
      <c r="AA776">
        <f>IFERROR(Z776 / Y776, 0)</f>
        <v>0.39513195573098059</v>
      </c>
      <c r="AB776" t="str">
        <f>TEXT(C776, "mmmm")</f>
        <v>July</v>
      </c>
      <c r="AC776">
        <f>YEAR(C776)</f>
        <v>2025</v>
      </c>
      <c r="AD776" t="str">
        <f>IF(X776&lt;0, "Invalid: Ship Date Before Order Date", IF(W776&lt;0, "Invalid: Negative Discount", IF(W776&gt;0.5, "Invalid: Exceeds Allowed Discount", "OK")))</f>
        <v>OK</v>
      </c>
    </row>
    <row r="777" spans="1:30">
      <c r="A777" t="s">
        <v>3581</v>
      </c>
      <c r="B777" t="str">
        <f t="shared" si="12"/>
        <v>Unique</v>
      </c>
      <c r="C777" s="3">
        <v>45396</v>
      </c>
      <c r="D777" s="3">
        <v>45404</v>
      </c>
      <c r="E777" t="s">
        <v>3584</v>
      </c>
      <c r="F777" t="s">
        <v>61</v>
      </c>
      <c r="G777" t="s">
        <v>26</v>
      </c>
      <c r="H777" t="s">
        <v>27</v>
      </c>
      <c r="I777" t="s">
        <v>323</v>
      </c>
      <c r="J777" t="s">
        <v>324</v>
      </c>
      <c r="K777" t="s">
        <v>86</v>
      </c>
      <c r="L777" t="s">
        <v>87</v>
      </c>
      <c r="M777" t="s">
        <v>3585</v>
      </c>
      <c r="N777" t="s">
        <v>67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34</v>
      </c>
      <c r="V777" t="s">
        <v>35</v>
      </c>
      <c r="W777">
        <f>IF(ISBLANK(Q777), 0, IFERROR(VALUE(Q777), 0.7))</f>
        <v>0.25</v>
      </c>
      <c r="X777">
        <f>D777 - C777</f>
        <v>8</v>
      </c>
      <c r="Y777">
        <f>O777 * P777 * (1 - W777)</f>
        <v>23736.720000000001</v>
      </c>
      <c r="Z777">
        <f>Y777 - S777</f>
        <v>9845.8200000000015</v>
      </c>
      <c r="AA777">
        <f>IFERROR(Z777 / Y777, 0)</f>
        <v>0.41479277676106896</v>
      </c>
      <c r="AB777" t="str">
        <f>TEXT(C777, "mmmm")</f>
        <v>April</v>
      </c>
      <c r="AC777">
        <f>YEAR(C777)</f>
        <v>2024</v>
      </c>
      <c r="AD777" t="str">
        <f>IF(X777&lt;0, "Invalid: Ship Date Before Order Date", IF(W777&lt;0, "Invalid: Negative Discount", IF(W777&gt;0.5, "Invalid: Exceeds Allowed Discount", "OK")))</f>
        <v>OK</v>
      </c>
    </row>
    <row r="778" spans="1:30">
      <c r="A778" t="s">
        <v>3586</v>
      </c>
      <c r="B778" t="str">
        <f t="shared" si="12"/>
        <v>Unique</v>
      </c>
      <c r="C778" s="3">
        <v>45875</v>
      </c>
      <c r="D778" s="3">
        <v>45821</v>
      </c>
      <c r="E778" t="s">
        <v>3588</v>
      </c>
      <c r="F778" t="s">
        <v>107</v>
      </c>
      <c r="G778" t="s">
        <v>41</v>
      </c>
      <c r="H778" t="s">
        <v>27</v>
      </c>
      <c r="I778" t="s">
        <v>28</v>
      </c>
      <c r="J778" t="s">
        <v>29</v>
      </c>
      <c r="K778" t="s">
        <v>86</v>
      </c>
      <c r="L778" t="s">
        <v>94</v>
      </c>
      <c r="M778" t="s">
        <v>3589</v>
      </c>
      <c r="N778" t="s">
        <v>33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34</v>
      </c>
      <c r="V778" t="s">
        <v>35</v>
      </c>
      <c r="W778">
        <f>IF(ISBLANK(Q778), 0, IFERROR(VALUE(Q778), 0.7))</f>
        <v>0</v>
      </c>
      <c r="X778">
        <f>D778 - C778</f>
        <v>-54</v>
      </c>
      <c r="Y778">
        <f>O778 * P778 * (1 - W778)</f>
        <v>26999.91</v>
      </c>
      <c r="Z778">
        <f>Y778 - S778</f>
        <v>9183.93</v>
      </c>
      <c r="AA778">
        <f>IFERROR(Z778 / Y778, 0)</f>
        <v>0.34014668937785347</v>
      </c>
      <c r="AB778" t="str">
        <f>TEXT(C778, "mmmm")</f>
        <v>August</v>
      </c>
      <c r="AC778">
        <f>YEAR(C778)</f>
        <v>2025</v>
      </c>
      <c r="AD778" t="str">
        <f>IF(X778&lt;0, "Invalid: Ship Date Before Order Date", IF(W778&lt;0, "Invalid: Negative Discount", IF(W778&gt;0.5, "Invalid: Exceeds Allowed Discount", "OK")))</f>
        <v>Invalid: Ship Date Before Order Date</v>
      </c>
    </row>
    <row r="779" spans="1:30">
      <c r="A779" t="s">
        <v>3590</v>
      </c>
      <c r="B779" t="str">
        <f t="shared" si="12"/>
        <v>Unique</v>
      </c>
      <c r="C779" s="3">
        <v>45384</v>
      </c>
      <c r="D779" s="3">
        <v>45328</v>
      </c>
      <c r="E779" t="s">
        <v>3592</v>
      </c>
      <c r="F779" t="s">
        <v>366</v>
      </c>
      <c r="G779" t="s">
        <v>41</v>
      </c>
      <c r="H779" t="s">
        <v>73</v>
      </c>
      <c r="I779" t="s">
        <v>84</v>
      </c>
      <c r="J779" t="s">
        <v>85</v>
      </c>
      <c r="K779" t="s">
        <v>86</v>
      </c>
      <c r="L779" t="s">
        <v>87</v>
      </c>
      <c r="M779" t="s">
        <v>3593</v>
      </c>
      <c r="N779" t="s">
        <v>33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200</v>
      </c>
      <c r="V779" t="s">
        <v>78</v>
      </c>
      <c r="W779">
        <f>IF(ISBLANK(Q779), 0, IFERROR(VALUE(Q779), 0.7))</f>
        <v>0.15</v>
      </c>
      <c r="X779">
        <f>D779 - C779</f>
        <v>-56</v>
      </c>
      <c r="Y779">
        <f>O779 * P779 * (1 - W779)</f>
        <v>5065.116</v>
      </c>
      <c r="Z779">
        <f>Y779 - S779</f>
        <v>1534.9960000000001</v>
      </c>
      <c r="AA779">
        <f>IFERROR(Z779 / Y779, 0)</f>
        <v>0.30305248685321323</v>
      </c>
      <c r="AB779" t="str">
        <f>TEXT(C779, "mmmm")</f>
        <v>April</v>
      </c>
      <c r="AC779">
        <f>YEAR(C779)</f>
        <v>2024</v>
      </c>
      <c r="AD779" t="str">
        <f>IF(X779&lt;0, "Invalid: Ship Date Before Order Date", IF(W779&lt;0, "Invalid: Negative Discount", IF(W779&gt;0.5, "Invalid: Exceeds Allowed Discount", "OK")))</f>
        <v>Invalid: Ship Date Before Order Date</v>
      </c>
    </row>
    <row r="780" spans="1:30">
      <c r="A780" t="s">
        <v>3594</v>
      </c>
      <c r="B780" t="str">
        <f t="shared" si="12"/>
        <v>Unique</v>
      </c>
      <c r="C780" s="3">
        <v>45497</v>
      </c>
      <c r="D780" s="3">
        <v>45497</v>
      </c>
      <c r="E780" t="s">
        <v>3596</v>
      </c>
      <c r="F780" t="s">
        <v>25</v>
      </c>
      <c r="G780" t="s">
        <v>41</v>
      </c>
      <c r="H780" t="s">
        <v>27</v>
      </c>
      <c r="I780" t="s">
        <v>323</v>
      </c>
      <c r="J780" t="s">
        <v>324</v>
      </c>
      <c r="K780" t="s">
        <v>86</v>
      </c>
      <c r="L780" t="s">
        <v>94</v>
      </c>
      <c r="M780" t="s">
        <v>3597</v>
      </c>
      <c r="N780" t="s">
        <v>33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34</v>
      </c>
      <c r="V780" t="s">
        <v>35</v>
      </c>
      <c r="W780">
        <f>IF(ISBLANK(Q780), 0, IFERROR(VALUE(Q780), 0.7))</f>
        <v>0</v>
      </c>
      <c r="X780">
        <f>D780 - C780</f>
        <v>0</v>
      </c>
      <c r="Y780">
        <f>O780 * P780 * (1 - W780)</f>
        <v>6707.52</v>
      </c>
      <c r="Z780">
        <f>Y780 - S780</f>
        <v>1034.9500000000007</v>
      </c>
      <c r="AA780">
        <f>IFERROR(Z780 / Y780, 0)</f>
        <v>0.15429696817899918</v>
      </c>
      <c r="AB780" t="str">
        <f>TEXT(C780, "mmmm")</f>
        <v>July</v>
      </c>
      <c r="AC780">
        <f>YEAR(C780)</f>
        <v>2024</v>
      </c>
      <c r="AD780" t="str">
        <f>IF(X780&lt;0, "Invalid: Ship Date Before Order Date", IF(W780&lt;0, "Invalid: Negative Discount", IF(W780&gt;0.5, "Invalid: Exceeds Allowed Discount", "OK")))</f>
        <v>OK</v>
      </c>
    </row>
    <row r="781" spans="1:30">
      <c r="A781" t="s">
        <v>3598</v>
      </c>
      <c r="B781" t="str">
        <f t="shared" si="12"/>
        <v>Unique</v>
      </c>
      <c r="C781" s="3">
        <v>45306</v>
      </c>
      <c r="D781" s="3">
        <v>45311</v>
      </c>
      <c r="E781" t="s">
        <v>3600</v>
      </c>
      <c r="F781" t="s">
        <v>142</v>
      </c>
      <c r="G781" t="s">
        <v>41</v>
      </c>
      <c r="H781" t="s">
        <v>62</v>
      </c>
      <c r="I781" t="s">
        <v>100</v>
      </c>
      <c r="J781" t="s">
        <v>101</v>
      </c>
      <c r="K781" t="s">
        <v>45</v>
      </c>
      <c r="L781" t="s">
        <v>76</v>
      </c>
      <c r="M781" t="s">
        <v>3601</v>
      </c>
      <c r="N781" t="s">
        <v>67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34</v>
      </c>
      <c r="V781" t="s">
        <v>35</v>
      </c>
      <c r="W781">
        <f>IF(ISBLANK(Q781), 0, IFERROR(VALUE(Q781), 0.7))</f>
        <v>0.05</v>
      </c>
      <c r="X781">
        <f>D781 - C781</f>
        <v>5</v>
      </c>
      <c r="Y781">
        <f>O781 * P781 * (1 - W781)</f>
        <v>11983.451999999999</v>
      </c>
      <c r="Z781">
        <f>Y781 - S781</f>
        <v>3410.5519999999997</v>
      </c>
      <c r="AA781">
        <f>IFERROR(Z781 / Y781, 0)</f>
        <v>0.2846051371507976</v>
      </c>
      <c r="AB781" t="str">
        <f>TEXT(C781, "mmmm")</f>
        <v>January</v>
      </c>
      <c r="AC781">
        <f>YEAR(C781)</f>
        <v>2024</v>
      </c>
      <c r="AD781" t="str">
        <f>IF(X781&lt;0, "Invalid: Ship Date Before Order Date", IF(W781&lt;0, "Invalid: Negative Discount", IF(W781&gt;0.5, "Invalid: Exceeds Allowed Discount", "OK")))</f>
        <v>OK</v>
      </c>
    </row>
    <row r="782" spans="1:30">
      <c r="A782" t="s">
        <v>3602</v>
      </c>
      <c r="B782" t="str">
        <f t="shared" si="12"/>
        <v>Unique</v>
      </c>
      <c r="C782" s="3">
        <v>45508</v>
      </c>
      <c r="D782" s="3">
        <v>45514</v>
      </c>
      <c r="E782" t="s">
        <v>3604</v>
      </c>
      <c r="F782" t="s">
        <v>210</v>
      </c>
      <c r="G782" t="s">
        <v>41</v>
      </c>
      <c r="H782" t="s">
        <v>73</v>
      </c>
      <c r="I782" t="s">
        <v>28</v>
      </c>
      <c r="J782" t="s">
        <v>135</v>
      </c>
      <c r="K782" t="s">
        <v>45</v>
      </c>
      <c r="L782" t="s">
        <v>76</v>
      </c>
      <c r="M782" t="s">
        <v>3605</v>
      </c>
      <c r="N782" t="s">
        <v>48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34</v>
      </c>
      <c r="V782" t="s">
        <v>35</v>
      </c>
      <c r="W782">
        <f>IF(ISBLANK(Q782), 0, IFERROR(VALUE(Q782), 0.7))</f>
        <v>0.2</v>
      </c>
      <c r="X782">
        <f>D782 - C782</f>
        <v>6</v>
      </c>
      <c r="Y782">
        <f>O782 * P782 * (1 - W782)</f>
        <v>1364.576</v>
      </c>
      <c r="Z782">
        <f>Y782 - S782</f>
        <v>386.41600000000005</v>
      </c>
      <c r="AA782">
        <f>IFERROR(Z782 / Y782, 0)</f>
        <v>0.28317660577351506</v>
      </c>
      <c r="AB782" t="str">
        <f>TEXT(C782, "mmmm")</f>
        <v>August</v>
      </c>
      <c r="AC782">
        <f>YEAR(C782)</f>
        <v>2024</v>
      </c>
      <c r="AD782" t="str">
        <f>IF(X782&lt;0, "Invalid: Ship Date Before Order Date", IF(W782&lt;0, "Invalid: Negative Discount", IF(W782&gt;0.5, "Invalid: Exceeds Allowed Discount", "OK")))</f>
        <v>OK</v>
      </c>
    </row>
    <row r="783" spans="1:30">
      <c r="A783" t="s">
        <v>3606</v>
      </c>
      <c r="B783" t="str">
        <f t="shared" si="12"/>
        <v>Unique</v>
      </c>
      <c r="C783" s="3">
        <v>45324</v>
      </c>
      <c r="D783" s="3">
        <v>45332</v>
      </c>
      <c r="E783" t="s">
        <v>3608</v>
      </c>
      <c r="F783" t="s">
        <v>25</v>
      </c>
      <c r="G783" t="s">
        <v>115</v>
      </c>
      <c r="H783" t="s">
        <v>73</v>
      </c>
      <c r="I783" t="s">
        <v>28</v>
      </c>
      <c r="J783" t="s">
        <v>135</v>
      </c>
      <c r="K783" t="s">
        <v>30</v>
      </c>
      <c r="L783" t="s">
        <v>109</v>
      </c>
      <c r="M783" t="s">
        <v>3609</v>
      </c>
      <c r="N783" t="s">
        <v>56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137</v>
      </c>
      <c r="V783" t="s">
        <v>125</v>
      </c>
      <c r="W783">
        <f>IF(ISBLANK(Q783), 0, IFERROR(VALUE(Q783), 0.7))</f>
        <v>0.25</v>
      </c>
      <c r="X783">
        <f>D783 - C783</f>
        <v>8</v>
      </c>
      <c r="Y783">
        <f>O783 * P783 * (1 - W783)</f>
        <v>862.64999999999986</v>
      </c>
      <c r="Z783">
        <f>Y783 - S783</f>
        <v>258.91999999999985</v>
      </c>
      <c r="AA783">
        <f>IFERROR(Z783 / Y783, 0)</f>
        <v>0.30014490233582553</v>
      </c>
      <c r="AB783" t="str">
        <f>TEXT(C783, "mmmm")</f>
        <v>February</v>
      </c>
      <c r="AC783">
        <f>YEAR(C783)</f>
        <v>2024</v>
      </c>
      <c r="AD783" t="str">
        <f>IF(X783&lt;0, "Invalid: Ship Date Before Order Date", IF(W783&lt;0, "Invalid: Negative Discount", IF(W783&gt;0.5, "Invalid: Exceeds Allowed Discount", "OK")))</f>
        <v>OK</v>
      </c>
    </row>
    <row r="784" spans="1:30">
      <c r="A784" t="s">
        <v>3610</v>
      </c>
      <c r="B784" t="str">
        <f t="shared" si="12"/>
        <v>Unique</v>
      </c>
      <c r="C784" s="3">
        <v>45730</v>
      </c>
      <c r="D784" s="3">
        <v>45738</v>
      </c>
      <c r="E784" t="s">
        <v>3612</v>
      </c>
      <c r="F784" t="s">
        <v>40</v>
      </c>
      <c r="G784" t="s">
        <v>108</v>
      </c>
      <c r="H784" t="s">
        <v>42</v>
      </c>
      <c r="I784" t="s">
        <v>121</v>
      </c>
      <c r="J784" t="s">
        <v>122</v>
      </c>
      <c r="K784" t="s">
        <v>86</v>
      </c>
      <c r="L784" t="s">
        <v>94</v>
      </c>
      <c r="M784" t="s">
        <v>3613</v>
      </c>
      <c r="N784" t="s">
        <v>67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34</v>
      </c>
      <c r="V784" t="s">
        <v>35</v>
      </c>
      <c r="W784">
        <f>IF(ISBLANK(Q784), 0, IFERROR(VALUE(Q784), 0.7))</f>
        <v>0.15</v>
      </c>
      <c r="X784">
        <f>D784 - C784</f>
        <v>8</v>
      </c>
      <c r="Y784">
        <f>O784 * P784 * (1 - W784)</f>
        <v>1138.3709999999999</v>
      </c>
      <c r="Z784">
        <f>Y784 - S784</f>
        <v>341.03099999999984</v>
      </c>
      <c r="AA784">
        <f>IFERROR(Z784 / Y784, 0)</f>
        <v>0.29957808131092578</v>
      </c>
      <c r="AB784" t="str">
        <f>TEXT(C784, "mmmm")</f>
        <v>March</v>
      </c>
      <c r="AC784">
        <f>YEAR(C784)</f>
        <v>2025</v>
      </c>
      <c r="AD784" t="str">
        <f>IF(X784&lt;0, "Invalid: Ship Date Before Order Date", IF(W784&lt;0, "Invalid: Negative Discount", IF(W784&gt;0.5, "Invalid: Exceeds Allowed Discount", "OK")))</f>
        <v>OK</v>
      </c>
    </row>
    <row r="785" spans="1:30">
      <c r="A785" t="s">
        <v>3614</v>
      </c>
      <c r="B785" t="str">
        <f t="shared" si="12"/>
        <v>Unique</v>
      </c>
      <c r="C785" s="3">
        <v>45450</v>
      </c>
      <c r="D785" s="3">
        <v>45450</v>
      </c>
      <c r="E785" t="s">
        <v>3617</v>
      </c>
      <c r="F785" t="s">
        <v>162</v>
      </c>
      <c r="G785" t="s">
        <v>41</v>
      </c>
      <c r="H785" t="s">
        <v>42</v>
      </c>
      <c r="I785" t="s">
        <v>186</v>
      </c>
      <c r="J785" t="s">
        <v>187</v>
      </c>
      <c r="K785" t="s">
        <v>30</v>
      </c>
      <c r="L785" t="s">
        <v>54</v>
      </c>
      <c r="M785" t="s">
        <v>3618</v>
      </c>
      <c r="N785" t="s">
        <v>33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34</v>
      </c>
      <c r="V785" t="s">
        <v>35</v>
      </c>
      <c r="W785">
        <f>IF(ISBLANK(Q785), 0, IFERROR(VALUE(Q785), 0.7))</f>
        <v>0.05</v>
      </c>
      <c r="X785">
        <f>D785 - C785</f>
        <v>0</v>
      </c>
      <c r="Y785">
        <f>O785 * P785 * (1 - W785)</f>
        <v>2452.8334999999997</v>
      </c>
      <c r="Z785">
        <f>Y785 - S785</f>
        <v>546.13349999999969</v>
      </c>
      <c r="AA785">
        <f>IFERROR(Z785 / Y785, 0)</f>
        <v>0.22265412634000625</v>
      </c>
      <c r="AB785" t="str">
        <f>TEXT(C785, "mmmm")</f>
        <v>June</v>
      </c>
      <c r="AC785">
        <f>YEAR(C785)</f>
        <v>2024</v>
      </c>
      <c r="AD785" t="str">
        <f>IF(X785&lt;0, "Invalid: Ship Date Before Order Date", IF(W785&lt;0, "Invalid: Negative Discount", IF(W785&gt;0.5, "Invalid: Exceeds Allowed Discount", "OK")))</f>
        <v>OK</v>
      </c>
    </row>
    <row r="786" spans="1:30">
      <c r="A786" t="s">
        <v>3619</v>
      </c>
      <c r="B786" t="str">
        <f t="shared" si="12"/>
        <v>Unique</v>
      </c>
      <c r="C786" s="3">
        <v>45934</v>
      </c>
      <c r="D786" s="3">
        <v>45935</v>
      </c>
      <c r="E786" t="s">
        <v>3621</v>
      </c>
      <c r="F786" t="s">
        <v>142</v>
      </c>
      <c r="G786" t="s">
        <v>108</v>
      </c>
      <c r="H786" t="s">
        <v>27</v>
      </c>
      <c r="I786" t="s">
        <v>154</v>
      </c>
      <c r="J786" t="s">
        <v>155</v>
      </c>
      <c r="K786" t="s">
        <v>86</v>
      </c>
      <c r="L786" t="s">
        <v>94</v>
      </c>
      <c r="M786" t="s">
        <v>3623</v>
      </c>
      <c r="N786" t="s">
        <v>56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34</v>
      </c>
      <c r="V786" t="s">
        <v>35</v>
      </c>
      <c r="W786">
        <f>IF(ISBLANK(Q786), 0, IFERROR(VALUE(Q786), 0.7))</f>
        <v>0.05</v>
      </c>
      <c r="X786">
        <f>D786 - C786</f>
        <v>1</v>
      </c>
      <c r="Y786">
        <f>O786 * P786 * (1 - W786)</f>
        <v>1589.0840000000001</v>
      </c>
      <c r="Z786">
        <f>Y786 - S786</f>
        <v>504.42399999999998</v>
      </c>
      <c r="AA786">
        <f>IFERROR(Z786 / Y786, 0)</f>
        <v>0.31743067075120002</v>
      </c>
      <c r="AB786" t="str">
        <f>TEXT(C786, "mmmm")</f>
        <v>October</v>
      </c>
      <c r="AC786">
        <f>YEAR(C786)</f>
        <v>2025</v>
      </c>
      <c r="AD786" t="str">
        <f>IF(X786&lt;0, "Invalid: Ship Date Before Order Date", IF(W786&lt;0, "Invalid: Negative Discount", IF(W786&gt;0.5, "Invalid: Exceeds Allowed Discount", "OK")))</f>
        <v>OK</v>
      </c>
    </row>
    <row r="787" spans="1:30">
      <c r="A787" t="s">
        <v>3624</v>
      </c>
      <c r="B787" t="str">
        <f t="shared" si="12"/>
        <v>Unique</v>
      </c>
      <c r="C787" s="3">
        <v>45435</v>
      </c>
      <c r="D787" s="3">
        <v>45441</v>
      </c>
      <c r="E787" t="s">
        <v>3626</v>
      </c>
      <c r="F787" t="s">
        <v>210</v>
      </c>
      <c r="G787" t="s">
        <v>41</v>
      </c>
      <c r="H787" t="s">
        <v>27</v>
      </c>
      <c r="I787" t="s">
        <v>323</v>
      </c>
      <c r="J787" t="s">
        <v>324</v>
      </c>
      <c r="K787" t="s">
        <v>30</v>
      </c>
      <c r="L787" t="s">
        <v>156</v>
      </c>
      <c r="M787" t="s">
        <v>3627</v>
      </c>
      <c r="N787" t="s">
        <v>48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200</v>
      </c>
      <c r="V787" t="s">
        <v>78</v>
      </c>
      <c r="W787">
        <f>IF(ISBLANK(Q787), 0, IFERROR(VALUE(Q787), 0.7))</f>
        <v>0.25</v>
      </c>
      <c r="X787">
        <f>D787 - C787</f>
        <v>6</v>
      </c>
      <c r="Y787">
        <f>O787 * P787 * (1 - W787)</f>
        <v>4519.41</v>
      </c>
      <c r="Z787">
        <f>Y787 - S787</f>
        <v>1015.25</v>
      </c>
      <c r="AA787">
        <f>IFERROR(Z787 / Y787, 0)</f>
        <v>0.22464215461752751</v>
      </c>
      <c r="AB787" t="str">
        <f>TEXT(C787, "mmmm")</f>
        <v>May</v>
      </c>
      <c r="AC787">
        <f>YEAR(C787)</f>
        <v>2024</v>
      </c>
      <c r="AD787" t="str">
        <f>IF(X787&lt;0, "Invalid: Ship Date Before Order Date", IF(W787&lt;0, "Invalid: Negative Discount", IF(W787&gt;0.5, "Invalid: Exceeds Allowed Discount", "OK")))</f>
        <v>OK</v>
      </c>
    </row>
    <row r="788" spans="1:30">
      <c r="A788" t="s">
        <v>3628</v>
      </c>
      <c r="B788" t="str">
        <f t="shared" si="12"/>
        <v>Unique</v>
      </c>
      <c r="C788" s="3">
        <v>45844</v>
      </c>
      <c r="D788" s="3">
        <v>45846</v>
      </c>
      <c r="E788" t="s">
        <v>3629</v>
      </c>
      <c r="F788" t="s">
        <v>72</v>
      </c>
      <c r="G788" t="s">
        <v>108</v>
      </c>
      <c r="H788" t="s">
        <v>27</v>
      </c>
      <c r="I788" t="s">
        <v>28</v>
      </c>
      <c r="J788" t="s">
        <v>29</v>
      </c>
      <c r="K788" t="s">
        <v>45</v>
      </c>
      <c r="L788" t="s">
        <v>65</v>
      </c>
      <c r="M788" t="s">
        <v>3630</v>
      </c>
      <c r="N788" t="s">
        <v>4110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124</v>
      </c>
      <c r="V788" t="s">
        <v>125</v>
      </c>
      <c r="W788">
        <f>IF(ISBLANK(Q788), 0, IFERROR(VALUE(Q788), 0.7))</f>
        <v>0.05</v>
      </c>
      <c r="X788">
        <f>D788 - C788</f>
        <v>2</v>
      </c>
      <c r="Y788">
        <f>O788 * P788 * (1 - W788)</f>
        <v>2718.71</v>
      </c>
      <c r="Z788">
        <f>Y788 - S788</f>
        <v>653.65999999999985</v>
      </c>
      <c r="AA788">
        <f>IFERROR(Z788 / Y788, 0)</f>
        <v>0.24043020403058799</v>
      </c>
      <c r="AB788" t="str">
        <f>TEXT(C788, "mmmm")</f>
        <v>July</v>
      </c>
      <c r="AC788">
        <f>YEAR(C788)</f>
        <v>2025</v>
      </c>
      <c r="AD788" t="str">
        <f>IF(X788&lt;0, "Invalid: Ship Date Before Order Date", IF(W788&lt;0, "Invalid: Negative Discount", IF(W788&gt;0.5, "Invalid: Exceeds Allowed Discount", "OK")))</f>
        <v>OK</v>
      </c>
    </row>
    <row r="789" spans="1:30">
      <c r="A789" t="s">
        <v>3631</v>
      </c>
      <c r="B789" t="str">
        <f t="shared" si="12"/>
        <v>Unique</v>
      </c>
      <c r="C789" s="3">
        <v>45547</v>
      </c>
      <c r="D789" s="3">
        <v>45553</v>
      </c>
      <c r="E789" t="s">
        <v>3633</v>
      </c>
      <c r="F789" t="s">
        <v>72</v>
      </c>
      <c r="G789" t="s">
        <v>115</v>
      </c>
      <c r="H789" t="s">
        <v>42</v>
      </c>
      <c r="I789" t="s">
        <v>186</v>
      </c>
      <c r="J789" t="s">
        <v>187</v>
      </c>
      <c r="K789" t="s">
        <v>30</v>
      </c>
      <c r="L789" t="s">
        <v>31</v>
      </c>
      <c r="M789" t="s">
        <v>3634</v>
      </c>
      <c r="N789" t="s">
        <v>33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34</v>
      </c>
      <c r="V789" t="s">
        <v>35</v>
      </c>
      <c r="W789">
        <f>IF(ISBLANK(Q789), 0, IFERROR(VALUE(Q789), 0.7))</f>
        <v>0.05</v>
      </c>
      <c r="X789">
        <f>D789 - C789</f>
        <v>6</v>
      </c>
      <c r="Y789">
        <f>O789 * P789 * (1 - W789)</f>
        <v>7065.6629999999996</v>
      </c>
      <c r="Z789">
        <f>Y789 - S789</f>
        <v>2150.3929999999991</v>
      </c>
      <c r="AA789">
        <f>IFERROR(Z789 / Y789, 0)</f>
        <v>0.30434412170521002</v>
      </c>
      <c r="AB789" t="str">
        <f>TEXT(C789, "mmmm")</f>
        <v>September</v>
      </c>
      <c r="AC789">
        <f>YEAR(C789)</f>
        <v>2024</v>
      </c>
      <c r="AD789" t="str">
        <f>IF(X789&lt;0, "Invalid: Ship Date Before Order Date", IF(W789&lt;0, "Invalid: Negative Discount", IF(W789&gt;0.5, "Invalid: Exceeds Allowed Discount", "OK")))</f>
        <v>OK</v>
      </c>
    </row>
    <row r="790" spans="1:30">
      <c r="A790" t="s">
        <v>3635</v>
      </c>
      <c r="B790" t="str">
        <f t="shared" si="12"/>
        <v>Unique</v>
      </c>
      <c r="C790" s="3">
        <v>45505</v>
      </c>
      <c r="D790" s="3">
        <v>45330</v>
      </c>
      <c r="E790" t="s">
        <v>3636</v>
      </c>
      <c r="F790" t="s">
        <v>53</v>
      </c>
      <c r="G790" t="s">
        <v>108</v>
      </c>
      <c r="H790" t="s">
        <v>27</v>
      </c>
      <c r="I790" t="s">
        <v>174</v>
      </c>
      <c r="J790" t="s">
        <v>175</v>
      </c>
      <c r="K790" t="s">
        <v>45</v>
      </c>
      <c r="L790" t="s">
        <v>76</v>
      </c>
      <c r="M790" t="s">
        <v>3637</v>
      </c>
      <c r="N790" t="s">
        <v>67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200</v>
      </c>
      <c r="V790" t="s">
        <v>125</v>
      </c>
      <c r="W790">
        <f>IF(ISBLANK(Q790), 0, IFERROR(VALUE(Q790), 0.7))</f>
        <v>0.1</v>
      </c>
      <c r="X790">
        <f>D790 - C790</f>
        <v>-175</v>
      </c>
      <c r="Y790">
        <f>O790 * P790 * (1 - W790)</f>
        <v>17911.007999999998</v>
      </c>
      <c r="Z790">
        <f>Y790 - S790</f>
        <v>6364.9579999999987</v>
      </c>
      <c r="AA790">
        <f>IFERROR(Z790 / Y790, 0)</f>
        <v>0.35536570582738836</v>
      </c>
      <c r="AB790" t="str">
        <f>TEXT(C790, "mmmm")</f>
        <v>August</v>
      </c>
      <c r="AC790">
        <f>YEAR(C790)</f>
        <v>2024</v>
      </c>
      <c r="AD790" t="str">
        <f>IF(X790&lt;0, "Invalid: Ship Date Before Order Date", IF(W790&lt;0, "Invalid: Negative Discount", IF(W790&gt;0.5, "Invalid: Exceeds Allowed Discount", "OK")))</f>
        <v>Invalid: Ship Date Before Order Date</v>
      </c>
    </row>
    <row r="791" spans="1:30">
      <c r="A791" t="s">
        <v>3638</v>
      </c>
      <c r="B791" t="str">
        <f t="shared" si="12"/>
        <v>Unique</v>
      </c>
      <c r="C791" s="3">
        <v>45723</v>
      </c>
      <c r="D791" s="3">
        <v>45724</v>
      </c>
      <c r="E791" t="s">
        <v>3640</v>
      </c>
      <c r="F791" t="s">
        <v>142</v>
      </c>
      <c r="G791" t="s">
        <v>115</v>
      </c>
      <c r="H791" t="s">
        <v>4110</v>
      </c>
      <c r="I791" t="s">
        <v>28</v>
      </c>
      <c r="J791" t="s">
        <v>135</v>
      </c>
      <c r="K791" t="s">
        <v>86</v>
      </c>
      <c r="L791" t="s">
        <v>94</v>
      </c>
      <c r="M791" t="s">
        <v>3641</v>
      </c>
      <c r="N791" t="s">
        <v>48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34</v>
      </c>
      <c r="V791" t="s">
        <v>35</v>
      </c>
      <c r="W791">
        <f>IF(ISBLANK(Q791), 0, IFERROR(VALUE(Q791), 0.7))</f>
        <v>0</v>
      </c>
      <c r="X791">
        <f>D791 - C791</f>
        <v>1</v>
      </c>
      <c r="Y791">
        <f>O791 * P791 * (1 - W791)</f>
        <v>14149.92</v>
      </c>
      <c r="Z791">
        <f>Y791 - S791</f>
        <v>4683.41</v>
      </c>
      <c r="AA791">
        <f>IFERROR(Z791 / Y791, 0)</f>
        <v>0.33098491016203624</v>
      </c>
      <c r="AB791" t="str">
        <f>TEXT(C791, "mmmm")</f>
        <v>March</v>
      </c>
      <c r="AC791">
        <f>YEAR(C791)</f>
        <v>2025</v>
      </c>
      <c r="AD791" t="str">
        <f>IF(X791&lt;0, "Invalid: Ship Date Before Order Date", IF(W791&lt;0, "Invalid: Negative Discount", IF(W791&gt;0.5, "Invalid: Exceeds Allowed Discount", "OK")))</f>
        <v>OK</v>
      </c>
    </row>
    <row r="792" spans="1:30">
      <c r="A792" t="s">
        <v>3642</v>
      </c>
      <c r="B792" t="str">
        <f t="shared" si="12"/>
        <v>Unique</v>
      </c>
      <c r="C792" s="3">
        <v>45443</v>
      </c>
      <c r="D792" s="3">
        <v>45445</v>
      </c>
      <c r="E792" t="s">
        <v>3645</v>
      </c>
      <c r="F792" t="s">
        <v>148</v>
      </c>
      <c r="G792" t="s">
        <v>108</v>
      </c>
      <c r="H792" t="s">
        <v>62</v>
      </c>
      <c r="I792" t="s">
        <v>100</v>
      </c>
      <c r="J792" t="s">
        <v>101</v>
      </c>
      <c r="K792" t="s">
        <v>30</v>
      </c>
      <c r="L792" t="s">
        <v>54</v>
      </c>
      <c r="M792" t="s">
        <v>3646</v>
      </c>
      <c r="N792" t="s">
        <v>67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34</v>
      </c>
      <c r="V792" t="s">
        <v>35</v>
      </c>
      <c r="W792">
        <f>IF(ISBLANK(Q792), 0, IFERROR(VALUE(Q792), 0.7))</f>
        <v>0.2</v>
      </c>
      <c r="X792">
        <f>D792 - C792</f>
        <v>2</v>
      </c>
      <c r="Y792">
        <f>O792 * P792 * (1 - W792)</f>
        <v>4272.576</v>
      </c>
      <c r="Z792">
        <f>Y792 - S792</f>
        <v>943.65599999999995</v>
      </c>
      <c r="AA792">
        <f>IFERROR(Z792 / Y792, 0)</f>
        <v>0.22086347908147214</v>
      </c>
      <c r="AB792" t="str">
        <f>TEXT(C792, "mmmm")</f>
        <v>May</v>
      </c>
      <c r="AC792">
        <f>YEAR(C792)</f>
        <v>2024</v>
      </c>
      <c r="AD792" t="str">
        <f>IF(X792&lt;0, "Invalid: Ship Date Before Order Date", IF(W792&lt;0, "Invalid: Negative Discount", IF(W792&gt;0.5, "Invalid: Exceeds Allowed Discount", "OK")))</f>
        <v>OK</v>
      </c>
    </row>
    <row r="793" spans="1:30">
      <c r="A793" t="s">
        <v>3647</v>
      </c>
      <c r="B793" t="str">
        <f t="shared" si="12"/>
        <v>Unique</v>
      </c>
      <c r="C793" s="3">
        <v>45567</v>
      </c>
      <c r="D793" s="3">
        <v>45571</v>
      </c>
      <c r="E793" t="s">
        <v>3649</v>
      </c>
      <c r="F793" t="s">
        <v>148</v>
      </c>
      <c r="G793" t="s">
        <v>115</v>
      </c>
      <c r="H793" t="s">
        <v>62</v>
      </c>
      <c r="I793" t="s">
        <v>229</v>
      </c>
      <c r="J793" t="s">
        <v>230</v>
      </c>
      <c r="K793" t="s">
        <v>45</v>
      </c>
      <c r="L793" t="s">
        <v>204</v>
      </c>
      <c r="M793" t="s">
        <v>3650</v>
      </c>
      <c r="N793" t="s">
        <v>48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34</v>
      </c>
      <c r="V793" t="s">
        <v>35</v>
      </c>
      <c r="W793">
        <f>IF(ISBLANK(Q793), 0, IFERROR(VALUE(Q793), 0.7))</f>
        <v>0.25</v>
      </c>
      <c r="X793">
        <f>D793 - C793</f>
        <v>4</v>
      </c>
      <c r="Y793">
        <f>O793 * P793 * (1 - W793)</f>
        <v>9352.619999999999</v>
      </c>
      <c r="Z793">
        <f>Y793 - S793</f>
        <v>4083.2099999999991</v>
      </c>
      <c r="AA793">
        <f>IFERROR(Z793 / Y793, 0)</f>
        <v>0.43658461479243243</v>
      </c>
      <c r="AB793" t="str">
        <f>TEXT(C793, "mmmm")</f>
        <v>October</v>
      </c>
      <c r="AC793">
        <f>YEAR(C793)</f>
        <v>2024</v>
      </c>
      <c r="AD793" t="str">
        <f>IF(X793&lt;0, "Invalid: Ship Date Before Order Date", IF(W793&lt;0, "Invalid: Negative Discount", IF(W793&gt;0.5, "Invalid: Exceeds Allowed Discount", "OK")))</f>
        <v>OK</v>
      </c>
    </row>
    <row r="794" spans="1:30">
      <c r="A794" t="s">
        <v>3651</v>
      </c>
      <c r="B794" t="str">
        <f t="shared" si="12"/>
        <v>Unique</v>
      </c>
      <c r="C794" s="3">
        <v>45812</v>
      </c>
      <c r="D794" s="3">
        <v>45816</v>
      </c>
      <c r="E794" t="s">
        <v>3653</v>
      </c>
      <c r="F794" t="s">
        <v>61</v>
      </c>
      <c r="G794" t="s">
        <v>41</v>
      </c>
      <c r="H794" t="s">
        <v>42</v>
      </c>
      <c r="I794" t="s">
        <v>216</v>
      </c>
      <c r="J794" t="s">
        <v>217</v>
      </c>
      <c r="K794" t="s">
        <v>45</v>
      </c>
      <c r="L794" t="s">
        <v>65</v>
      </c>
      <c r="M794" t="s">
        <v>3654</v>
      </c>
      <c r="N794" t="s">
        <v>33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34</v>
      </c>
      <c r="V794" t="s">
        <v>125</v>
      </c>
      <c r="W794">
        <f>IF(ISBLANK(Q794), 0, IFERROR(VALUE(Q794), 0.7))</f>
        <v>0.2</v>
      </c>
      <c r="X794">
        <f>D794 - C794</f>
        <v>4</v>
      </c>
      <c r="Y794">
        <f>O794 * P794 * (1 - W794)</f>
        <v>2800.8960000000002</v>
      </c>
      <c r="Z794">
        <f>Y794 - S794</f>
        <v>1064.9160000000002</v>
      </c>
      <c r="AA794">
        <f>IFERROR(Z794 / Y794, 0)</f>
        <v>0.38020547710446945</v>
      </c>
      <c r="AB794" t="str">
        <f>TEXT(C794, "mmmm")</f>
        <v>June</v>
      </c>
      <c r="AC794">
        <f>YEAR(C794)</f>
        <v>2025</v>
      </c>
      <c r="AD794" t="str">
        <f>IF(X794&lt;0, "Invalid: Ship Date Before Order Date", IF(W794&lt;0, "Invalid: Negative Discount", IF(W794&gt;0.5, "Invalid: Exceeds Allowed Discount", "OK")))</f>
        <v>OK</v>
      </c>
    </row>
    <row r="795" spans="1:30">
      <c r="A795" t="s">
        <v>3655</v>
      </c>
      <c r="B795" t="str">
        <f t="shared" si="12"/>
        <v>Unique</v>
      </c>
      <c r="C795" s="3">
        <v>45440</v>
      </c>
      <c r="D795" s="3">
        <v>45446</v>
      </c>
      <c r="E795" t="s">
        <v>3657</v>
      </c>
      <c r="F795" t="s">
        <v>83</v>
      </c>
      <c r="G795" t="s">
        <v>108</v>
      </c>
      <c r="H795" t="s">
        <v>27</v>
      </c>
      <c r="I795" t="s">
        <v>28</v>
      </c>
      <c r="J795" t="s">
        <v>29</v>
      </c>
      <c r="K795" t="s">
        <v>86</v>
      </c>
      <c r="L795" t="s">
        <v>94</v>
      </c>
      <c r="M795" t="s">
        <v>3658</v>
      </c>
      <c r="N795" t="s">
        <v>33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34</v>
      </c>
      <c r="V795" t="s">
        <v>35</v>
      </c>
      <c r="W795">
        <f>IF(ISBLANK(Q795), 0, IFERROR(VALUE(Q795), 0.7))</f>
        <v>0</v>
      </c>
      <c r="X795">
        <f>D795 - C795</f>
        <v>6</v>
      </c>
      <c r="Y795">
        <f>O795 * P795 * (1 - W795)</f>
        <v>21511.599999999999</v>
      </c>
      <c r="Z795">
        <f>Y795 - S795</f>
        <v>6103.1299999999992</v>
      </c>
      <c r="AA795">
        <f>IFERROR(Z795 / Y795, 0)</f>
        <v>0.28371343833094703</v>
      </c>
      <c r="AB795" t="str">
        <f>TEXT(C795, "mmmm")</f>
        <v>May</v>
      </c>
      <c r="AC795">
        <f>YEAR(C795)</f>
        <v>2024</v>
      </c>
      <c r="AD795" t="str">
        <f>IF(X795&lt;0, "Invalid: Ship Date Before Order Date", IF(W795&lt;0, "Invalid: Negative Discount", IF(W795&gt;0.5, "Invalid: Exceeds Allowed Discount", "OK")))</f>
        <v>OK</v>
      </c>
    </row>
    <row r="796" spans="1:30">
      <c r="A796" t="s">
        <v>3659</v>
      </c>
      <c r="B796" t="str">
        <f t="shared" si="12"/>
        <v>Unique</v>
      </c>
      <c r="C796" s="3">
        <v>45830</v>
      </c>
      <c r="D796" s="3">
        <v>45832</v>
      </c>
      <c r="E796" t="s">
        <v>3661</v>
      </c>
      <c r="F796" t="s">
        <v>168</v>
      </c>
      <c r="G796" t="s">
        <v>108</v>
      </c>
      <c r="H796" t="s">
        <v>42</v>
      </c>
      <c r="I796" t="s">
        <v>216</v>
      </c>
      <c r="J796" t="s">
        <v>217</v>
      </c>
      <c r="K796" t="s">
        <v>30</v>
      </c>
      <c r="L796" t="s">
        <v>31</v>
      </c>
      <c r="M796" t="s">
        <v>3662</v>
      </c>
      <c r="N796" t="s">
        <v>67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34</v>
      </c>
      <c r="V796" t="s">
        <v>35</v>
      </c>
      <c r="W796">
        <f>IF(ISBLANK(Q796), 0, IFERROR(VALUE(Q796), 0.7))</f>
        <v>0.15</v>
      </c>
      <c r="X796">
        <f>D796 - C796</f>
        <v>2</v>
      </c>
      <c r="Y796">
        <f>O796 * P796 * (1 - W796)</f>
        <v>7279.3574999999992</v>
      </c>
      <c r="Z796">
        <f>Y796 - S796</f>
        <v>2408.9674999999988</v>
      </c>
      <c r="AA796">
        <f>IFERROR(Z796 / Y796, 0)</f>
        <v>0.33093133562955235</v>
      </c>
      <c r="AB796" t="str">
        <f>TEXT(C796, "mmmm")</f>
        <v>June</v>
      </c>
      <c r="AC796">
        <f>YEAR(C796)</f>
        <v>2025</v>
      </c>
      <c r="AD796" t="str">
        <f>IF(X796&lt;0, "Invalid: Ship Date Before Order Date", IF(W796&lt;0, "Invalid: Negative Discount", IF(W796&gt;0.5, "Invalid: Exceeds Allowed Discount", "OK")))</f>
        <v>OK</v>
      </c>
    </row>
    <row r="797" spans="1:30">
      <c r="A797" t="s">
        <v>3663</v>
      </c>
      <c r="B797" t="str">
        <f t="shared" si="12"/>
        <v>Unique</v>
      </c>
      <c r="C797" s="3">
        <v>45503</v>
      </c>
      <c r="D797" s="3">
        <v>45503</v>
      </c>
      <c r="E797" t="s">
        <v>3665</v>
      </c>
      <c r="F797" t="s">
        <v>210</v>
      </c>
      <c r="G797" t="s">
        <v>115</v>
      </c>
      <c r="H797" t="s">
        <v>42</v>
      </c>
      <c r="I797" t="s">
        <v>43</v>
      </c>
      <c r="J797" t="s">
        <v>44</v>
      </c>
      <c r="K797" t="s">
        <v>86</v>
      </c>
      <c r="L797" t="s">
        <v>94</v>
      </c>
      <c r="M797" t="s">
        <v>3666</v>
      </c>
      <c r="N797" t="s">
        <v>48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124</v>
      </c>
      <c r="V797" t="s">
        <v>78</v>
      </c>
      <c r="W797">
        <f>IF(ISBLANK(Q797), 0, IFERROR(VALUE(Q797), 0.7))</f>
        <v>0</v>
      </c>
      <c r="X797">
        <f>D797 - C797</f>
        <v>0</v>
      </c>
      <c r="Y797">
        <f>O797 * P797 * (1 - W797)</f>
        <v>26051.94</v>
      </c>
      <c r="Z797">
        <f>Y797 - S797</f>
        <v>9168.3499999999985</v>
      </c>
      <c r="AA797">
        <f>IFERROR(Z797 / Y797, 0)</f>
        <v>0.3519258066769691</v>
      </c>
      <c r="AB797" t="str">
        <f>TEXT(C797, "mmmm")</f>
        <v>July</v>
      </c>
      <c r="AC797">
        <f>YEAR(C797)</f>
        <v>2024</v>
      </c>
      <c r="AD797" t="str">
        <f>IF(X797&lt;0, "Invalid: Ship Date Before Order Date", IF(W797&lt;0, "Invalid: Negative Discount", IF(W797&gt;0.5, "Invalid: Exceeds Allowed Discount", "OK")))</f>
        <v>OK</v>
      </c>
    </row>
    <row r="798" spans="1:30">
      <c r="A798" t="s">
        <v>3667</v>
      </c>
      <c r="B798" t="str">
        <f t="shared" si="12"/>
        <v>Unique</v>
      </c>
      <c r="C798" s="3">
        <v>45374</v>
      </c>
      <c r="D798" s="3">
        <v>45381</v>
      </c>
      <c r="E798" t="s">
        <v>3669</v>
      </c>
      <c r="F798" t="s">
        <v>180</v>
      </c>
      <c r="G798" t="s">
        <v>41</v>
      </c>
      <c r="H798" t="s">
        <v>62</v>
      </c>
      <c r="I798" t="s">
        <v>100</v>
      </c>
      <c r="J798" t="s">
        <v>101</v>
      </c>
      <c r="K798" t="s">
        <v>86</v>
      </c>
      <c r="L798" t="s">
        <v>382</v>
      </c>
      <c r="M798" t="s">
        <v>3670</v>
      </c>
      <c r="N798" t="s">
        <v>56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34</v>
      </c>
      <c r="V798" t="s">
        <v>35</v>
      </c>
      <c r="W798">
        <f>IF(ISBLANK(Q798), 0, IFERROR(VALUE(Q798), 0.7))</f>
        <v>0.15</v>
      </c>
      <c r="X798">
        <f>D798 - C798</f>
        <v>7</v>
      </c>
      <c r="Y798">
        <f>O798 * P798 * (1 - W798)</f>
        <v>9661.6439999999984</v>
      </c>
      <c r="Z798">
        <f>Y798 - S798</f>
        <v>3357.873999999998</v>
      </c>
      <c r="AA798">
        <f>IFERROR(Z798 / Y798, 0)</f>
        <v>0.34754685641491223</v>
      </c>
      <c r="AB798" t="str">
        <f>TEXT(C798, "mmmm")</f>
        <v>March</v>
      </c>
      <c r="AC798">
        <f>YEAR(C798)</f>
        <v>2024</v>
      </c>
      <c r="AD798" t="str">
        <f>IF(X798&lt;0, "Invalid: Ship Date Before Order Date", IF(W798&lt;0, "Invalid: Negative Discount", IF(W798&gt;0.5, "Invalid: Exceeds Allowed Discount", "OK")))</f>
        <v>OK</v>
      </c>
    </row>
    <row r="799" spans="1:30">
      <c r="A799" t="s">
        <v>3671</v>
      </c>
      <c r="B799" t="str">
        <f t="shared" si="12"/>
        <v>Unique</v>
      </c>
      <c r="C799" s="3">
        <v>45400</v>
      </c>
      <c r="D799" s="3">
        <v>45404</v>
      </c>
      <c r="E799" t="s">
        <v>3673</v>
      </c>
      <c r="F799" t="s">
        <v>162</v>
      </c>
      <c r="G799" t="s">
        <v>26</v>
      </c>
      <c r="H799" t="s">
        <v>42</v>
      </c>
      <c r="I799" t="s">
        <v>43</v>
      </c>
      <c r="J799" t="s">
        <v>44</v>
      </c>
      <c r="K799" t="s">
        <v>30</v>
      </c>
      <c r="L799" t="s">
        <v>198</v>
      </c>
      <c r="M799" t="s">
        <v>3674</v>
      </c>
      <c r="N799" t="s">
        <v>56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200</v>
      </c>
      <c r="V799" t="s">
        <v>78</v>
      </c>
      <c r="W799">
        <f>IF(ISBLANK(Q799), 0, IFERROR(VALUE(Q799), 0.7))</f>
        <v>0</v>
      </c>
      <c r="X799">
        <f>D799 - C799</f>
        <v>4</v>
      </c>
      <c r="Y799">
        <f>O799 * P799 * (1 - W799)</f>
        <v>13714.96</v>
      </c>
      <c r="Z799">
        <f>Y799 - S799</f>
        <v>3164.49</v>
      </c>
      <c r="AA799">
        <f>IFERROR(Z799 / Y799, 0)</f>
        <v>0.23073271814135804</v>
      </c>
      <c r="AB799" t="str">
        <f>TEXT(C799, "mmmm")</f>
        <v>April</v>
      </c>
      <c r="AC799">
        <f>YEAR(C799)</f>
        <v>2024</v>
      </c>
      <c r="AD799" t="str">
        <f>IF(X799&lt;0, "Invalid: Ship Date Before Order Date", IF(W799&lt;0, "Invalid: Negative Discount", IF(W799&gt;0.5, "Invalid: Exceeds Allowed Discount", "OK")))</f>
        <v>OK</v>
      </c>
    </row>
    <row r="800" spans="1:30">
      <c r="A800" t="s">
        <v>3675</v>
      </c>
      <c r="B800" t="str">
        <f t="shared" si="12"/>
        <v>Unique</v>
      </c>
      <c r="C800" s="3">
        <v>45849</v>
      </c>
      <c r="D800" s="3">
        <v>45907</v>
      </c>
      <c r="E800" t="s">
        <v>3678</v>
      </c>
      <c r="F800" t="s">
        <v>107</v>
      </c>
      <c r="G800" t="s">
        <v>108</v>
      </c>
      <c r="H800" t="s">
        <v>27</v>
      </c>
      <c r="I800" t="s">
        <v>506</v>
      </c>
      <c r="J800" t="s">
        <v>507</v>
      </c>
      <c r="K800" t="s">
        <v>45</v>
      </c>
      <c r="L800" t="s">
        <v>65</v>
      </c>
      <c r="M800" t="s">
        <v>3679</v>
      </c>
      <c r="N800" t="s">
        <v>67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34</v>
      </c>
      <c r="V800" t="s">
        <v>35</v>
      </c>
      <c r="W800">
        <f>IF(ISBLANK(Q800), 0, IFERROR(VALUE(Q800), 0.7))</f>
        <v>0</v>
      </c>
      <c r="X800">
        <f>D800 - C800</f>
        <v>58</v>
      </c>
      <c r="Y800">
        <f>O800 * P800 * (1 - W800)</f>
        <v>15354.449999999999</v>
      </c>
      <c r="Z800">
        <f>Y800 - S800</f>
        <v>5697.9499999999989</v>
      </c>
      <c r="AA800">
        <f>IFERROR(Z800 / Y800, 0)</f>
        <v>0.37109437329243311</v>
      </c>
      <c r="AB800" t="str">
        <f>TEXT(C800, "mmmm")</f>
        <v>July</v>
      </c>
      <c r="AC800">
        <f>YEAR(C800)</f>
        <v>2025</v>
      </c>
      <c r="AD800" t="str">
        <f>IF(X800&lt;0, "Invalid: Ship Date Before Order Date", IF(W800&lt;0, "Invalid: Negative Discount", IF(W800&gt;0.5, "Invalid: Exceeds Allowed Discount", "OK")))</f>
        <v>OK</v>
      </c>
    </row>
    <row r="801" spans="1:30">
      <c r="A801" t="s">
        <v>3680</v>
      </c>
      <c r="B801" t="str">
        <f t="shared" si="12"/>
        <v>Unique</v>
      </c>
      <c r="C801" s="3">
        <v>45575</v>
      </c>
      <c r="D801" s="3">
        <v>45582</v>
      </c>
      <c r="E801" t="s">
        <v>3681</v>
      </c>
      <c r="F801" t="s">
        <v>53</v>
      </c>
      <c r="G801" t="s">
        <v>115</v>
      </c>
      <c r="H801" t="s">
        <v>27</v>
      </c>
      <c r="I801" t="s">
        <v>323</v>
      </c>
      <c r="J801" t="s">
        <v>324</v>
      </c>
      <c r="K801" t="s">
        <v>86</v>
      </c>
      <c r="L801" t="s">
        <v>87</v>
      </c>
      <c r="M801" t="s">
        <v>3682</v>
      </c>
      <c r="N801" t="s">
        <v>4110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34</v>
      </c>
      <c r="V801" t="s">
        <v>125</v>
      </c>
      <c r="W801">
        <f>IF(ISBLANK(Q801), 0, IFERROR(VALUE(Q801), 0.7))</f>
        <v>0.05</v>
      </c>
      <c r="X801">
        <f>D801 - C801</f>
        <v>7</v>
      </c>
      <c r="Y801">
        <f>O801 * P801 * (1 - W801)</f>
        <v>4595.1975000000002</v>
      </c>
      <c r="Z801">
        <f>Y801 - S801</f>
        <v>707.78750000000036</v>
      </c>
      <c r="AA801">
        <f>IFERROR(Z801 / Y801, 0)</f>
        <v>0.15402765604742785</v>
      </c>
      <c r="AB801" t="str">
        <f>TEXT(C801, "mmmm")</f>
        <v>October</v>
      </c>
      <c r="AC801">
        <f>YEAR(C801)</f>
        <v>2024</v>
      </c>
      <c r="AD801" t="str">
        <f>IF(X801&lt;0, "Invalid: Ship Date Before Order Date", IF(W801&lt;0, "Invalid: Negative Discount", IF(W801&gt;0.5, "Invalid: Exceeds Allowed Discount", "OK")))</f>
        <v>OK</v>
      </c>
    </row>
    <row r="802" spans="1:30">
      <c r="A802" t="s">
        <v>3683</v>
      </c>
      <c r="B802" t="str">
        <f t="shared" si="12"/>
        <v>Unique</v>
      </c>
      <c r="C802" s="3">
        <v>45352</v>
      </c>
      <c r="D802" s="3">
        <v>45358</v>
      </c>
      <c r="E802" t="s">
        <v>3686</v>
      </c>
      <c r="F802" t="s">
        <v>83</v>
      </c>
      <c r="G802" t="s">
        <v>41</v>
      </c>
      <c r="H802" t="s">
        <v>73</v>
      </c>
      <c r="I802" t="s">
        <v>74</v>
      </c>
      <c r="J802" t="s">
        <v>75</v>
      </c>
      <c r="K802" t="s">
        <v>30</v>
      </c>
      <c r="L802" t="s">
        <v>156</v>
      </c>
      <c r="M802" t="s">
        <v>3687</v>
      </c>
      <c r="N802" t="s">
        <v>33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34</v>
      </c>
      <c r="V802" t="s">
        <v>35</v>
      </c>
      <c r="W802">
        <f>IF(ISBLANK(Q802), 0, IFERROR(VALUE(Q802), 0.7))</f>
        <v>0.15</v>
      </c>
      <c r="X802">
        <f>D802 - C802</f>
        <v>6</v>
      </c>
      <c r="Y802">
        <f>O802 * P802 * (1 - W802)</f>
        <v>21234.971999999998</v>
      </c>
      <c r="Z802">
        <f>Y802 - S802</f>
        <v>4498.8819999999978</v>
      </c>
      <c r="AA802">
        <f>IFERROR(Z802 / Y802, 0)</f>
        <v>0.21186192286950029</v>
      </c>
      <c r="AB802" t="str">
        <f>TEXT(C802, "mmmm")</f>
        <v>March</v>
      </c>
      <c r="AC802">
        <f>YEAR(C802)</f>
        <v>2024</v>
      </c>
      <c r="AD802" t="str">
        <f>IF(X802&lt;0, "Invalid: Ship Date Before Order Date", IF(W802&lt;0, "Invalid: Negative Discount", IF(W802&gt;0.5, "Invalid: Exceeds Allowed Discount", "OK")))</f>
        <v>OK</v>
      </c>
    </row>
    <row r="803" spans="1:30">
      <c r="A803" t="s">
        <v>3688</v>
      </c>
      <c r="B803" t="str">
        <f t="shared" si="12"/>
        <v>Unique</v>
      </c>
      <c r="C803" s="3">
        <v>45938</v>
      </c>
      <c r="D803" s="3">
        <v>45945</v>
      </c>
      <c r="E803" t="s">
        <v>3690</v>
      </c>
      <c r="F803" t="s">
        <v>162</v>
      </c>
      <c r="G803" t="s">
        <v>115</v>
      </c>
      <c r="H803" t="s">
        <v>42</v>
      </c>
      <c r="I803" t="s">
        <v>43</v>
      </c>
      <c r="J803" t="s">
        <v>44</v>
      </c>
      <c r="K803" t="s">
        <v>86</v>
      </c>
      <c r="L803" t="s">
        <v>87</v>
      </c>
      <c r="M803" t="s">
        <v>3691</v>
      </c>
      <c r="N803" t="s">
        <v>33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137</v>
      </c>
      <c r="V803" t="s">
        <v>78</v>
      </c>
      <c r="W803">
        <f>IF(ISBLANK(Q803), 0, IFERROR(VALUE(Q803), 0.7))</f>
        <v>0.2</v>
      </c>
      <c r="X803">
        <f>D803 - C803</f>
        <v>7</v>
      </c>
      <c r="Y803">
        <f>O803 * P803 * (1 - W803)</f>
        <v>8093.304000000001</v>
      </c>
      <c r="Z803">
        <f>Y803 - S803</f>
        <v>2040.8740000000007</v>
      </c>
      <c r="AA803">
        <f>IFERROR(Z803 / Y803, 0)</f>
        <v>0.25216821214179036</v>
      </c>
      <c r="AB803" t="str">
        <f>TEXT(C803, "mmmm")</f>
        <v>October</v>
      </c>
      <c r="AC803">
        <f>YEAR(C803)</f>
        <v>2025</v>
      </c>
      <c r="AD803" t="str">
        <f>IF(X803&lt;0, "Invalid: Ship Date Before Order Date", IF(W803&lt;0, "Invalid: Negative Discount", IF(W803&gt;0.5, "Invalid: Exceeds Allowed Discount", "OK")))</f>
        <v>OK</v>
      </c>
    </row>
    <row r="804" spans="1:30">
      <c r="A804" t="s">
        <v>3692</v>
      </c>
      <c r="B804" t="str">
        <f t="shared" si="12"/>
        <v>Unique</v>
      </c>
      <c r="C804" s="3">
        <v>45704</v>
      </c>
      <c r="D804" s="3">
        <v>45704</v>
      </c>
      <c r="E804" t="s">
        <v>3694</v>
      </c>
      <c r="F804" t="s">
        <v>180</v>
      </c>
      <c r="G804" t="s">
        <v>41</v>
      </c>
      <c r="H804" t="s">
        <v>42</v>
      </c>
      <c r="I804" t="s">
        <v>216</v>
      </c>
      <c r="J804" t="s">
        <v>217</v>
      </c>
      <c r="K804" t="s">
        <v>45</v>
      </c>
      <c r="L804" t="s">
        <v>65</v>
      </c>
      <c r="M804" t="s">
        <v>3695</v>
      </c>
      <c r="N804" t="s">
        <v>33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200</v>
      </c>
      <c r="V804" t="s">
        <v>125</v>
      </c>
      <c r="W804">
        <f>IF(ISBLANK(Q804), 0, IFERROR(VALUE(Q804), 0.7))</f>
        <v>0</v>
      </c>
      <c r="X804">
        <f>D804 - C804</f>
        <v>0</v>
      </c>
      <c r="Y804">
        <f>O804 * P804 * (1 - W804)</f>
        <v>8651.4600000000009</v>
      </c>
      <c r="Z804">
        <f>Y804 - S804</f>
        <v>3396.8400000000011</v>
      </c>
      <c r="AA804">
        <f>IFERROR(Z804 / Y804, 0)</f>
        <v>0.39263199506210522</v>
      </c>
      <c r="AB804" t="str">
        <f>TEXT(C804, "mmmm")</f>
        <v>February</v>
      </c>
      <c r="AC804">
        <f>YEAR(C804)</f>
        <v>2025</v>
      </c>
      <c r="AD804" t="str">
        <f>IF(X804&lt;0, "Invalid: Ship Date Before Order Date", IF(W804&lt;0, "Invalid: Negative Discount", IF(W804&gt;0.5, "Invalid: Exceeds Allowed Discount", "OK")))</f>
        <v>OK</v>
      </c>
    </row>
    <row r="805" spans="1:30">
      <c r="A805" t="s">
        <v>3697</v>
      </c>
      <c r="B805" t="str">
        <f t="shared" si="12"/>
        <v>Unique</v>
      </c>
      <c r="C805" s="3">
        <v>45635</v>
      </c>
      <c r="D805" s="3">
        <v>45639</v>
      </c>
      <c r="E805" t="s">
        <v>3699</v>
      </c>
      <c r="F805" t="s">
        <v>180</v>
      </c>
      <c r="G805" t="s">
        <v>26</v>
      </c>
      <c r="H805" t="s">
        <v>4110</v>
      </c>
      <c r="I805" t="s">
        <v>311</v>
      </c>
      <c r="J805" t="s">
        <v>312</v>
      </c>
      <c r="K805" t="s">
        <v>30</v>
      </c>
      <c r="L805" t="s">
        <v>109</v>
      </c>
      <c r="M805" t="s">
        <v>3700</v>
      </c>
      <c r="N805" t="s">
        <v>56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34</v>
      </c>
      <c r="V805" t="s">
        <v>35</v>
      </c>
      <c r="W805">
        <f>IF(ISBLANK(Q805), 0, IFERROR(VALUE(Q805), 0.7))</f>
        <v>0</v>
      </c>
      <c r="X805">
        <f>D805 - C805</f>
        <v>4</v>
      </c>
      <c r="Y805">
        <f>O805 * P805 * (1 - W805)</f>
        <v>4306.6499999999996</v>
      </c>
      <c r="Z805">
        <f>Y805 - S805</f>
        <v>1737.8299999999995</v>
      </c>
      <c r="AA805">
        <f>IFERROR(Z805 / Y805, 0)</f>
        <v>0.40352245945224235</v>
      </c>
      <c r="AB805" t="str">
        <f>TEXT(C805, "mmmm")</f>
        <v>December</v>
      </c>
      <c r="AC805">
        <f>YEAR(C805)</f>
        <v>2024</v>
      </c>
      <c r="AD805" t="str">
        <f>IF(X805&lt;0, "Invalid: Ship Date Before Order Date", IF(W805&lt;0, "Invalid: Negative Discount", IF(W805&gt;0.5, "Invalid: Exceeds Allowed Discount", "OK")))</f>
        <v>OK</v>
      </c>
    </row>
    <row r="806" spans="1:30">
      <c r="A806" t="s">
        <v>3701</v>
      </c>
      <c r="B806" t="str">
        <f t="shared" si="12"/>
        <v>Unique</v>
      </c>
      <c r="C806" s="3">
        <v>45939</v>
      </c>
      <c r="D806" s="3">
        <v>45918</v>
      </c>
      <c r="E806" t="s">
        <v>3702</v>
      </c>
      <c r="F806" t="s">
        <v>148</v>
      </c>
      <c r="G806" t="s">
        <v>115</v>
      </c>
      <c r="H806" t="s">
        <v>62</v>
      </c>
      <c r="I806" t="s">
        <v>63</v>
      </c>
      <c r="J806" t="s">
        <v>64</v>
      </c>
      <c r="K806" t="s">
        <v>45</v>
      </c>
      <c r="L806" t="s">
        <v>65</v>
      </c>
      <c r="M806" t="s">
        <v>3703</v>
      </c>
      <c r="N806" t="s">
        <v>67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34</v>
      </c>
      <c r="V806" t="s">
        <v>35</v>
      </c>
      <c r="W806">
        <f>IF(ISBLANK(Q806), 0, IFERROR(VALUE(Q806), 0.7))</f>
        <v>0.05</v>
      </c>
      <c r="X806">
        <f>D806 - C806</f>
        <v>-21</v>
      </c>
      <c r="Y806">
        <f>O806 * P806 * (1 - W806)</f>
        <v>1948.0889999999997</v>
      </c>
      <c r="Z806">
        <f>Y806 - S806</f>
        <v>441.00899999999979</v>
      </c>
      <c r="AA806">
        <f>IFERROR(Z806 / Y806, 0)</f>
        <v>0.22638031424642296</v>
      </c>
      <c r="AB806" t="str">
        <f>TEXT(C806, "mmmm")</f>
        <v>October</v>
      </c>
      <c r="AC806">
        <f>YEAR(C806)</f>
        <v>2025</v>
      </c>
      <c r="AD806" t="str">
        <f>IF(X806&lt;0, "Invalid: Ship Date Before Order Date", IF(W806&lt;0, "Invalid: Negative Discount", IF(W806&gt;0.5, "Invalid: Exceeds Allowed Discount", "OK")))</f>
        <v>Invalid: Ship Date Before Order Date</v>
      </c>
    </row>
    <row r="807" spans="1:30">
      <c r="A807" t="s">
        <v>3704</v>
      </c>
      <c r="B807" t="str">
        <f t="shared" si="12"/>
        <v>Unique</v>
      </c>
      <c r="C807" s="3">
        <v>45753</v>
      </c>
      <c r="D807" s="3">
        <v>45842</v>
      </c>
      <c r="E807" t="s">
        <v>3520</v>
      </c>
      <c r="F807" t="s">
        <v>142</v>
      </c>
      <c r="G807" t="s">
        <v>115</v>
      </c>
      <c r="H807" t="s">
        <v>42</v>
      </c>
      <c r="I807" t="s">
        <v>216</v>
      </c>
      <c r="J807" t="s">
        <v>217</v>
      </c>
      <c r="K807" t="s">
        <v>30</v>
      </c>
      <c r="L807" t="s">
        <v>198</v>
      </c>
      <c r="M807" t="s">
        <v>3705</v>
      </c>
      <c r="N807" t="s">
        <v>33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34</v>
      </c>
      <c r="V807" t="s">
        <v>35</v>
      </c>
      <c r="W807">
        <f>IF(ISBLANK(Q807), 0, IFERROR(VALUE(Q807), 0.7))</f>
        <v>0.25</v>
      </c>
      <c r="X807">
        <f>D807 - C807</f>
        <v>89</v>
      </c>
      <c r="Y807">
        <f>O807 * P807 * (1 - W807)</f>
        <v>3045.09</v>
      </c>
      <c r="Z807">
        <f>Y807 - S807</f>
        <v>444</v>
      </c>
      <c r="AA807">
        <f>IFERROR(Z807 / Y807, 0)</f>
        <v>0.14580849827098705</v>
      </c>
      <c r="AB807" t="str">
        <f>TEXT(C807, "mmmm")</f>
        <v>April</v>
      </c>
      <c r="AC807">
        <f>YEAR(C807)</f>
        <v>2025</v>
      </c>
      <c r="AD807" t="str">
        <f>IF(X807&lt;0, "Invalid: Ship Date Before Order Date", IF(W807&lt;0, "Invalid: Negative Discount", IF(W807&gt;0.5, "Invalid: Exceeds Allowed Discount", "OK")))</f>
        <v>OK</v>
      </c>
    </row>
    <row r="808" spans="1:30">
      <c r="A808" t="s">
        <v>3706</v>
      </c>
      <c r="B808" t="str">
        <f t="shared" si="12"/>
        <v>Unique</v>
      </c>
      <c r="C808" s="3">
        <v>45546</v>
      </c>
      <c r="D808" s="3">
        <v>45611</v>
      </c>
      <c r="E808" t="s">
        <v>3709</v>
      </c>
      <c r="F808" t="s">
        <v>53</v>
      </c>
      <c r="G808" t="s">
        <v>115</v>
      </c>
      <c r="H808" t="s">
        <v>27</v>
      </c>
      <c r="I808" t="s">
        <v>28</v>
      </c>
      <c r="J808" t="s">
        <v>29</v>
      </c>
      <c r="K808" t="s">
        <v>86</v>
      </c>
      <c r="L808" t="s">
        <v>94</v>
      </c>
      <c r="M808" t="s">
        <v>3710</v>
      </c>
      <c r="N808" t="s">
        <v>67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200</v>
      </c>
      <c r="V808" t="s">
        <v>78</v>
      </c>
      <c r="W808">
        <f>IF(ISBLANK(Q808), 0, IFERROR(VALUE(Q808), 0.7))</f>
        <v>0.2</v>
      </c>
      <c r="X808">
        <f>D808 - C808</f>
        <v>65</v>
      </c>
      <c r="Y808">
        <f>O808 * P808 * (1 - W808)</f>
        <v>2932.7759999999998</v>
      </c>
      <c r="Z808">
        <f>Y808 - S808</f>
        <v>1032.4259999999999</v>
      </c>
      <c r="AA808">
        <f>IFERROR(Z808 / Y808, 0)</f>
        <v>0.35203029484692999</v>
      </c>
      <c r="AB808" t="str">
        <f>TEXT(C808, "mmmm")</f>
        <v>September</v>
      </c>
      <c r="AC808">
        <f>YEAR(C808)</f>
        <v>2024</v>
      </c>
      <c r="AD808" t="str">
        <f>IF(X808&lt;0, "Invalid: Ship Date Before Order Date", IF(W808&lt;0, "Invalid: Negative Discount", IF(W808&gt;0.5, "Invalid: Exceeds Allowed Discount", "OK")))</f>
        <v>OK</v>
      </c>
    </row>
    <row r="809" spans="1:30">
      <c r="A809" t="s">
        <v>3711</v>
      </c>
      <c r="B809" t="str">
        <f t="shared" si="12"/>
        <v>Unique</v>
      </c>
      <c r="C809" s="3">
        <v>45695</v>
      </c>
      <c r="D809" s="3">
        <v>45696</v>
      </c>
      <c r="E809" t="s">
        <v>3712</v>
      </c>
      <c r="F809" t="s">
        <v>25</v>
      </c>
      <c r="G809" t="s">
        <v>41</v>
      </c>
      <c r="H809" t="s">
        <v>62</v>
      </c>
      <c r="I809" t="s">
        <v>63</v>
      </c>
      <c r="J809" t="s">
        <v>64</v>
      </c>
      <c r="K809" t="s">
        <v>30</v>
      </c>
      <c r="L809" t="s">
        <v>109</v>
      </c>
      <c r="M809" t="s">
        <v>3713</v>
      </c>
      <c r="N809" t="s">
        <v>67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34</v>
      </c>
      <c r="V809" t="s">
        <v>35</v>
      </c>
      <c r="W809">
        <f>IF(ISBLANK(Q809), 0, IFERROR(VALUE(Q809), 0.7))</f>
        <v>0.1</v>
      </c>
      <c r="X809">
        <f>D809 - C809</f>
        <v>1</v>
      </c>
      <c r="Y809">
        <f>O809 * P809 * (1 - W809)</f>
        <v>4379.3640000000005</v>
      </c>
      <c r="Z809">
        <f>Y809 - S809</f>
        <v>655.43400000000065</v>
      </c>
      <c r="AA809">
        <f>IFERROR(Z809 / Y809, 0)</f>
        <v>0.14966419781502532</v>
      </c>
      <c r="AB809" t="str">
        <f>TEXT(C809, "mmmm")</f>
        <v>February</v>
      </c>
      <c r="AC809">
        <f>YEAR(C809)</f>
        <v>2025</v>
      </c>
      <c r="AD809" t="str">
        <f>IF(X809&lt;0, "Invalid: Ship Date Before Order Date", IF(W809&lt;0, "Invalid: Negative Discount", IF(W809&gt;0.5, "Invalid: Exceeds Allowed Discount", "OK")))</f>
        <v>OK</v>
      </c>
    </row>
    <row r="810" spans="1:30">
      <c r="A810" t="s">
        <v>3715</v>
      </c>
      <c r="B810" t="str">
        <f t="shared" si="12"/>
        <v>Unique</v>
      </c>
      <c r="C810" s="3">
        <v>45900</v>
      </c>
      <c r="D810" s="3">
        <v>45897</v>
      </c>
      <c r="E810" t="s">
        <v>3717</v>
      </c>
      <c r="F810" t="s">
        <v>162</v>
      </c>
      <c r="G810" t="s">
        <v>41</v>
      </c>
      <c r="H810" t="s">
        <v>62</v>
      </c>
      <c r="I810" t="s">
        <v>339</v>
      </c>
      <c r="J810" t="s">
        <v>340</v>
      </c>
      <c r="K810" t="s">
        <v>45</v>
      </c>
      <c r="L810" t="s">
        <v>65</v>
      </c>
      <c r="M810" t="s">
        <v>3718</v>
      </c>
      <c r="N810" t="s">
        <v>56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34</v>
      </c>
      <c r="V810" t="s">
        <v>35</v>
      </c>
      <c r="W810">
        <f>IF(ISBLANK(Q810), 0, IFERROR(VALUE(Q810), 0.7))</f>
        <v>0.2</v>
      </c>
      <c r="X810">
        <f>D810 - C810</f>
        <v>-3</v>
      </c>
      <c r="Y810">
        <f>O810 * P810 * (1 - W810)</f>
        <v>5472.768</v>
      </c>
      <c r="Z810">
        <f>Y810 - S810</f>
        <v>995.4380000000001</v>
      </c>
      <c r="AA810">
        <f>IFERROR(Z810 / Y810, 0)</f>
        <v>0.18188931085695575</v>
      </c>
      <c r="AB810" t="str">
        <f>TEXT(C810, "mmmm")</f>
        <v>August</v>
      </c>
      <c r="AC810">
        <f>YEAR(C810)</f>
        <v>2025</v>
      </c>
      <c r="AD810" t="str">
        <f>IF(X810&lt;0, "Invalid: Ship Date Before Order Date", IF(W810&lt;0, "Invalid: Negative Discount", IF(W810&gt;0.5, "Invalid: Exceeds Allowed Discount", "OK")))</f>
        <v>Invalid: Ship Date Before Order Date</v>
      </c>
    </row>
    <row r="811" spans="1:30">
      <c r="A811" t="s">
        <v>3719</v>
      </c>
      <c r="B811" t="str">
        <f t="shared" si="12"/>
        <v>Unique</v>
      </c>
      <c r="C811" s="3">
        <v>45833</v>
      </c>
      <c r="D811" s="3">
        <v>45833</v>
      </c>
      <c r="E811" t="s">
        <v>3720</v>
      </c>
      <c r="F811" t="s">
        <v>61</v>
      </c>
      <c r="G811" t="s">
        <v>41</v>
      </c>
      <c r="H811" t="s">
        <v>4110</v>
      </c>
      <c r="I811" t="s">
        <v>154</v>
      </c>
      <c r="J811" t="s">
        <v>155</v>
      </c>
      <c r="K811" t="s">
        <v>30</v>
      </c>
      <c r="L811" t="s">
        <v>198</v>
      </c>
      <c r="M811" t="s">
        <v>3721</v>
      </c>
      <c r="N811" t="s">
        <v>33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34</v>
      </c>
      <c r="V811" t="s">
        <v>35</v>
      </c>
      <c r="W811">
        <f>IF(ISBLANK(Q811), 0, IFERROR(VALUE(Q811), 0.7))</f>
        <v>0.1</v>
      </c>
      <c r="X811">
        <f>D811 - C811</f>
        <v>0</v>
      </c>
      <c r="Y811">
        <f>O811 * P811 * (1 - W811)</f>
        <v>7377.1020000000008</v>
      </c>
      <c r="Z811">
        <f>Y811 - S811</f>
        <v>2291.8920000000007</v>
      </c>
      <c r="AA811">
        <f>IFERROR(Z811 / Y811, 0)</f>
        <v>0.31067646888981615</v>
      </c>
      <c r="AB811" t="str">
        <f>TEXT(C811, "mmmm")</f>
        <v>June</v>
      </c>
      <c r="AC811">
        <f>YEAR(C811)</f>
        <v>2025</v>
      </c>
      <c r="AD811" t="str">
        <f>IF(X811&lt;0, "Invalid: Ship Date Before Order Date", IF(W811&lt;0, "Invalid: Negative Discount", IF(W811&gt;0.5, "Invalid: Exceeds Allowed Discount", "OK")))</f>
        <v>OK</v>
      </c>
    </row>
    <row r="812" spans="1:30">
      <c r="A812" t="s">
        <v>3722</v>
      </c>
      <c r="B812" t="str">
        <f t="shared" si="12"/>
        <v>Unique</v>
      </c>
      <c r="C812" s="3">
        <v>45385</v>
      </c>
      <c r="D812" s="3">
        <v>45508</v>
      </c>
      <c r="E812" t="s">
        <v>2534</v>
      </c>
      <c r="F812" t="s">
        <v>366</v>
      </c>
      <c r="G812" t="s">
        <v>115</v>
      </c>
      <c r="H812" t="s">
        <v>73</v>
      </c>
      <c r="I812" t="s">
        <v>235</v>
      </c>
      <c r="J812" t="s">
        <v>236</v>
      </c>
      <c r="K812" t="s">
        <v>86</v>
      </c>
      <c r="L812" t="s">
        <v>94</v>
      </c>
      <c r="M812" t="s">
        <v>3725</v>
      </c>
      <c r="N812" t="s">
        <v>56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34</v>
      </c>
      <c r="V812" t="s">
        <v>35</v>
      </c>
      <c r="W812">
        <f>IF(ISBLANK(Q812), 0, IFERROR(VALUE(Q812), 0.7))</f>
        <v>0.25</v>
      </c>
      <c r="X812">
        <f>D812 - C812</f>
        <v>123</v>
      </c>
      <c r="Y812">
        <f>O812 * P812 * (1 - W812)</f>
        <v>2363.8874999999998</v>
      </c>
      <c r="Z812">
        <f>Y812 - S812</f>
        <v>892.37749999999983</v>
      </c>
      <c r="AA812">
        <f>IFERROR(Z812 / Y812, 0)</f>
        <v>0.37750421710000998</v>
      </c>
      <c r="AB812" t="str">
        <f>TEXT(C812, "mmmm")</f>
        <v>April</v>
      </c>
      <c r="AC812">
        <f>YEAR(C812)</f>
        <v>2024</v>
      </c>
      <c r="AD812" t="str">
        <f>IF(X812&lt;0, "Invalid: Ship Date Before Order Date", IF(W812&lt;0, "Invalid: Negative Discount", IF(W812&gt;0.5, "Invalid: Exceeds Allowed Discount", "OK")))</f>
        <v>OK</v>
      </c>
    </row>
    <row r="813" spans="1:30">
      <c r="A813" t="s">
        <v>3726</v>
      </c>
      <c r="B813" t="str">
        <f t="shared" si="12"/>
        <v>Unique</v>
      </c>
      <c r="C813" s="3">
        <v>45638</v>
      </c>
      <c r="D813" s="3">
        <v>45645</v>
      </c>
      <c r="E813" t="s">
        <v>3729</v>
      </c>
      <c r="F813" t="s">
        <v>180</v>
      </c>
      <c r="G813" t="s">
        <v>115</v>
      </c>
      <c r="H813" t="s">
        <v>27</v>
      </c>
      <c r="I813" t="s">
        <v>323</v>
      </c>
      <c r="J813" t="s">
        <v>324</v>
      </c>
      <c r="K813" t="s">
        <v>86</v>
      </c>
      <c r="L813" t="s">
        <v>87</v>
      </c>
      <c r="M813" t="s">
        <v>3730</v>
      </c>
      <c r="N813" t="s">
        <v>56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34</v>
      </c>
      <c r="V813" t="s">
        <v>35</v>
      </c>
      <c r="W813">
        <f>IF(ISBLANK(Q813), 0, IFERROR(VALUE(Q813), 0.7))</f>
        <v>0.2</v>
      </c>
      <c r="X813">
        <f>D813 - C813</f>
        <v>7</v>
      </c>
      <c r="Y813">
        <f>O813 * P813 * (1 - W813)</f>
        <v>2577.2000000000003</v>
      </c>
      <c r="Z813">
        <f>Y813 - S813</f>
        <v>1101.3300000000004</v>
      </c>
      <c r="AA813">
        <f>IFERROR(Z813 / Y813, 0)</f>
        <v>0.42733586838429316</v>
      </c>
      <c r="AB813" t="str">
        <f>TEXT(C813, "mmmm")</f>
        <v>December</v>
      </c>
      <c r="AC813">
        <f>YEAR(C813)</f>
        <v>2024</v>
      </c>
      <c r="AD813" t="str">
        <f>IF(X813&lt;0, "Invalid: Ship Date Before Order Date", IF(W813&lt;0, "Invalid: Negative Discount", IF(W813&gt;0.5, "Invalid: Exceeds Allowed Discount", "OK")))</f>
        <v>OK</v>
      </c>
    </row>
    <row r="814" spans="1:30">
      <c r="A814" t="s">
        <v>3731</v>
      </c>
      <c r="B814" t="str">
        <f t="shared" si="12"/>
        <v>Unique</v>
      </c>
      <c r="C814" s="3">
        <v>45458</v>
      </c>
      <c r="D814" s="3">
        <v>45463</v>
      </c>
      <c r="E814" t="s">
        <v>3733</v>
      </c>
      <c r="F814" t="s">
        <v>168</v>
      </c>
      <c r="G814" t="s">
        <v>41</v>
      </c>
      <c r="H814" t="s">
        <v>42</v>
      </c>
      <c r="I814" t="s">
        <v>311</v>
      </c>
      <c r="J814" t="s">
        <v>312</v>
      </c>
      <c r="K814" t="s">
        <v>45</v>
      </c>
      <c r="L814" t="s">
        <v>46</v>
      </c>
      <c r="M814" t="s">
        <v>3734</v>
      </c>
      <c r="N814" t="s">
        <v>56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34</v>
      </c>
      <c r="V814" t="s">
        <v>35</v>
      </c>
      <c r="W814">
        <f>IF(ISBLANK(Q814), 0, IFERROR(VALUE(Q814), 0.7))</f>
        <v>0</v>
      </c>
      <c r="X814">
        <f>D814 - C814</f>
        <v>5</v>
      </c>
      <c r="Y814">
        <f>O814 * P814 * (1 - W814)</f>
        <v>17827.759999999998</v>
      </c>
      <c r="Z814">
        <f>Y814 - S814</f>
        <v>3705.6299999999992</v>
      </c>
      <c r="AA814">
        <f>IFERROR(Z814 / Y814, 0)</f>
        <v>0.20785729671029896</v>
      </c>
      <c r="AB814" t="str">
        <f>TEXT(C814, "mmmm")</f>
        <v>June</v>
      </c>
      <c r="AC814">
        <f>YEAR(C814)</f>
        <v>2024</v>
      </c>
      <c r="AD814" t="str">
        <f>IF(X814&lt;0, "Invalid: Ship Date Before Order Date", IF(W814&lt;0, "Invalid: Negative Discount", IF(W814&gt;0.5, "Invalid: Exceeds Allowed Discount", "OK")))</f>
        <v>OK</v>
      </c>
    </row>
    <row r="815" spans="1:30">
      <c r="A815" t="s">
        <v>3735</v>
      </c>
      <c r="B815" t="str">
        <f t="shared" si="12"/>
        <v>Unique</v>
      </c>
      <c r="C815" s="3">
        <v>45753</v>
      </c>
      <c r="D815" s="3">
        <v>45757</v>
      </c>
      <c r="E815" t="s">
        <v>3738</v>
      </c>
      <c r="F815" t="s">
        <v>180</v>
      </c>
      <c r="G815" t="s">
        <v>26</v>
      </c>
      <c r="H815" t="s">
        <v>42</v>
      </c>
      <c r="I815" t="s">
        <v>43</v>
      </c>
      <c r="J815" t="s">
        <v>44</v>
      </c>
      <c r="K815" t="s">
        <v>45</v>
      </c>
      <c r="L815" t="s">
        <v>204</v>
      </c>
      <c r="M815" t="s">
        <v>1717</v>
      </c>
      <c r="N815" t="s">
        <v>67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34</v>
      </c>
      <c r="V815" t="s">
        <v>35</v>
      </c>
      <c r="W815">
        <f>IF(ISBLANK(Q815), 0, IFERROR(VALUE(Q815), 0.7))</f>
        <v>0</v>
      </c>
      <c r="X815">
        <f>D815 - C815</f>
        <v>4</v>
      </c>
      <c r="Y815">
        <f>O815 * P815 * (1 - W815)</f>
        <v>2675.34</v>
      </c>
      <c r="Z815">
        <f>Y815 - S815</f>
        <v>1079.4700000000003</v>
      </c>
      <c r="AA815">
        <f>IFERROR(Z815 / Y815, 0)</f>
        <v>0.40348890234512258</v>
      </c>
      <c r="AB815" t="str">
        <f>TEXT(C815, "mmmm")</f>
        <v>April</v>
      </c>
      <c r="AC815">
        <f>YEAR(C815)</f>
        <v>2025</v>
      </c>
      <c r="AD815" t="str">
        <f>IF(X815&lt;0, "Invalid: Ship Date Before Order Date", IF(W815&lt;0, "Invalid: Negative Discount", IF(W815&gt;0.5, "Invalid: Exceeds Allowed Discount", "OK")))</f>
        <v>OK</v>
      </c>
    </row>
    <row r="816" spans="1:30">
      <c r="A816" t="s">
        <v>3739</v>
      </c>
      <c r="B816" t="str">
        <f t="shared" si="12"/>
        <v>Unique</v>
      </c>
      <c r="C816" s="3">
        <v>45875</v>
      </c>
      <c r="D816" s="3">
        <v>45880</v>
      </c>
      <c r="E816" t="s">
        <v>3740</v>
      </c>
      <c r="F816" t="s">
        <v>61</v>
      </c>
      <c r="G816" t="s">
        <v>26</v>
      </c>
      <c r="H816" t="s">
        <v>73</v>
      </c>
      <c r="I816" t="s">
        <v>84</v>
      </c>
      <c r="J816" t="s">
        <v>85</v>
      </c>
      <c r="K816" t="s">
        <v>30</v>
      </c>
      <c r="L816" t="s">
        <v>109</v>
      </c>
      <c r="M816" t="s">
        <v>3741</v>
      </c>
      <c r="N816" t="s">
        <v>56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34</v>
      </c>
      <c r="V816" t="s">
        <v>35</v>
      </c>
      <c r="W816">
        <f>IF(ISBLANK(Q816), 0, IFERROR(VALUE(Q816), 0.7))</f>
        <v>0.25</v>
      </c>
      <c r="X816">
        <f>D816 - C816</f>
        <v>5</v>
      </c>
      <c r="Y816">
        <f>O816 * P816 * (1 - W816)</f>
        <v>3563.91</v>
      </c>
      <c r="Z816">
        <f>Y816 - S816</f>
        <v>924.21</v>
      </c>
      <c r="AA816">
        <f>IFERROR(Z816 / Y816, 0)</f>
        <v>0.25932473042248544</v>
      </c>
      <c r="AB816" t="str">
        <f>TEXT(C816, "mmmm")</f>
        <v>August</v>
      </c>
      <c r="AC816">
        <f>YEAR(C816)</f>
        <v>2025</v>
      </c>
      <c r="AD816" t="str">
        <f>IF(X816&lt;0, "Invalid: Ship Date Before Order Date", IF(W816&lt;0, "Invalid: Negative Discount", IF(W816&gt;0.5, "Invalid: Exceeds Allowed Discount", "OK")))</f>
        <v>OK</v>
      </c>
    </row>
    <row r="817" spans="1:30">
      <c r="A817" t="s">
        <v>3742</v>
      </c>
      <c r="B817" t="str">
        <f t="shared" si="12"/>
        <v>Unique</v>
      </c>
      <c r="C817" s="3">
        <v>45383</v>
      </c>
      <c r="D817" s="3">
        <v>45390</v>
      </c>
      <c r="E817" t="s">
        <v>3744</v>
      </c>
      <c r="F817" t="s">
        <v>210</v>
      </c>
      <c r="G817" t="s">
        <v>26</v>
      </c>
      <c r="H817" t="s">
        <v>42</v>
      </c>
      <c r="I817" t="s">
        <v>43</v>
      </c>
      <c r="J817" t="s">
        <v>44</v>
      </c>
      <c r="K817" t="s">
        <v>86</v>
      </c>
      <c r="L817" t="s">
        <v>382</v>
      </c>
      <c r="M817" t="s">
        <v>3745</v>
      </c>
      <c r="N817" t="s">
        <v>67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137</v>
      </c>
      <c r="V817" t="s">
        <v>78</v>
      </c>
      <c r="W817">
        <f>IF(ISBLANK(Q817), 0, IFERROR(VALUE(Q817), 0.7))</f>
        <v>0.15</v>
      </c>
      <c r="X817">
        <f>D817 - C817</f>
        <v>7</v>
      </c>
      <c r="Y817">
        <f>O817 * P817 * (1 - W817)</f>
        <v>4259.0694999999996</v>
      </c>
      <c r="Z817">
        <f>Y817 - S817</f>
        <v>1128.7494999999994</v>
      </c>
      <c r="AA817">
        <f>IFERROR(Z817 / Y817, 0)</f>
        <v>0.26502255950507486</v>
      </c>
      <c r="AB817" t="str">
        <f>TEXT(C817, "mmmm")</f>
        <v>April</v>
      </c>
      <c r="AC817">
        <f>YEAR(C817)</f>
        <v>2024</v>
      </c>
      <c r="AD817" t="str">
        <f>IF(X817&lt;0, "Invalid: Ship Date Before Order Date", IF(W817&lt;0, "Invalid: Negative Discount", IF(W817&gt;0.5, "Invalid: Exceeds Allowed Discount", "OK")))</f>
        <v>OK</v>
      </c>
    </row>
    <row r="818" spans="1:30">
      <c r="A818" t="s">
        <v>3746</v>
      </c>
      <c r="B818" t="str">
        <f t="shared" si="12"/>
        <v>Unique</v>
      </c>
      <c r="C818" s="3">
        <v>45623</v>
      </c>
      <c r="D818" s="3">
        <v>45626</v>
      </c>
      <c r="E818" t="s">
        <v>3749</v>
      </c>
      <c r="F818" t="s">
        <v>148</v>
      </c>
      <c r="G818" t="s">
        <v>41</v>
      </c>
      <c r="H818" t="s">
        <v>42</v>
      </c>
      <c r="I818" t="s">
        <v>311</v>
      </c>
      <c r="J818" t="s">
        <v>312</v>
      </c>
      <c r="K818" t="s">
        <v>45</v>
      </c>
      <c r="L818" t="s">
        <v>65</v>
      </c>
      <c r="M818" t="s">
        <v>3750</v>
      </c>
      <c r="N818" t="s">
        <v>56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34</v>
      </c>
      <c r="V818" t="s">
        <v>35</v>
      </c>
      <c r="W818">
        <f>IF(ISBLANK(Q818), 0, IFERROR(VALUE(Q818), 0.7))</f>
        <v>0.1</v>
      </c>
      <c r="X818">
        <f>D818 - C818</f>
        <v>3</v>
      </c>
      <c r="Y818">
        <f>O818 * P818 * (1 - W818)</f>
        <v>786.87</v>
      </c>
      <c r="Z818">
        <f>Y818 - S818</f>
        <v>288.37</v>
      </c>
      <c r="AA818">
        <f>IFERROR(Z818 / Y818, 0)</f>
        <v>0.36647730883119195</v>
      </c>
      <c r="AB818" t="str">
        <f>TEXT(C818, "mmmm")</f>
        <v>November</v>
      </c>
      <c r="AC818">
        <f>YEAR(C818)</f>
        <v>2024</v>
      </c>
      <c r="AD818" t="str">
        <f>IF(X818&lt;0, "Invalid: Ship Date Before Order Date", IF(W818&lt;0, "Invalid: Negative Discount", IF(W818&gt;0.5, "Invalid: Exceeds Allowed Discount", "OK")))</f>
        <v>OK</v>
      </c>
    </row>
    <row r="819" spans="1:30">
      <c r="A819" t="s">
        <v>3751</v>
      </c>
      <c r="B819" t="str">
        <f t="shared" si="12"/>
        <v>Unique</v>
      </c>
      <c r="C819" s="3">
        <v>45752</v>
      </c>
      <c r="D819" s="3">
        <v>45752</v>
      </c>
      <c r="E819" t="s">
        <v>3754</v>
      </c>
      <c r="F819" t="s">
        <v>168</v>
      </c>
      <c r="G819" t="s">
        <v>26</v>
      </c>
      <c r="H819" t="s">
        <v>42</v>
      </c>
      <c r="I819" t="s">
        <v>186</v>
      </c>
      <c r="J819" t="s">
        <v>187</v>
      </c>
      <c r="K819" t="s">
        <v>30</v>
      </c>
      <c r="L819" t="s">
        <v>198</v>
      </c>
      <c r="M819" t="s">
        <v>3755</v>
      </c>
      <c r="N819" t="s">
        <v>67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34</v>
      </c>
      <c r="V819" t="s">
        <v>35</v>
      </c>
      <c r="W819">
        <f>IF(ISBLANK(Q819), 0, IFERROR(VALUE(Q819), 0.7))</f>
        <v>0.25</v>
      </c>
      <c r="X819">
        <f>D819 - C819</f>
        <v>0</v>
      </c>
      <c r="Y819">
        <f>O819 * P819 * (1 - W819)</f>
        <v>8233.6049999999996</v>
      </c>
      <c r="Z819">
        <f>Y819 - S819</f>
        <v>3519.8149999999996</v>
      </c>
      <c r="AA819">
        <f>IFERROR(Z819 / Y819, 0)</f>
        <v>0.42749378917254349</v>
      </c>
      <c r="AB819" t="str">
        <f>TEXT(C819, "mmmm")</f>
        <v>April</v>
      </c>
      <c r="AC819">
        <f>YEAR(C819)</f>
        <v>2025</v>
      </c>
      <c r="AD819" t="str">
        <f>IF(X819&lt;0, "Invalid: Ship Date Before Order Date", IF(W819&lt;0, "Invalid: Negative Discount", IF(W819&gt;0.5, "Invalid: Exceeds Allowed Discount", "OK")))</f>
        <v>OK</v>
      </c>
    </row>
    <row r="820" spans="1:30">
      <c r="A820" t="s">
        <v>3756</v>
      </c>
      <c r="B820" t="str">
        <f t="shared" si="12"/>
        <v>Unique</v>
      </c>
      <c r="C820" s="3">
        <v>45564</v>
      </c>
      <c r="D820" s="3">
        <v>45422</v>
      </c>
      <c r="E820" t="s">
        <v>3758</v>
      </c>
      <c r="F820" t="s">
        <v>142</v>
      </c>
      <c r="G820" t="s">
        <v>41</v>
      </c>
      <c r="H820" t="s">
        <v>73</v>
      </c>
      <c r="I820" t="s">
        <v>74</v>
      </c>
      <c r="J820" t="s">
        <v>75</v>
      </c>
      <c r="K820" t="s">
        <v>30</v>
      </c>
      <c r="L820" t="s">
        <v>109</v>
      </c>
      <c r="M820" t="s">
        <v>3759</v>
      </c>
      <c r="N820" t="s">
        <v>56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34</v>
      </c>
      <c r="V820" t="s">
        <v>35</v>
      </c>
      <c r="W820">
        <f>IF(ISBLANK(Q820), 0, IFERROR(VALUE(Q820), 0.7))</f>
        <v>-0.14000000000000001</v>
      </c>
      <c r="X820">
        <f>D820 - C820</f>
        <v>-142</v>
      </c>
      <c r="Y820">
        <f>O820 * P820 * (1 - W820)</f>
        <v>18067.084800000001</v>
      </c>
      <c r="Z820">
        <f>Y820 - S820</f>
        <v>7978.4348000000009</v>
      </c>
      <c r="AA820">
        <f>IFERROR(Z820 / Y820, 0)</f>
        <v>0.44160056192352631</v>
      </c>
      <c r="AB820" t="str">
        <f>TEXT(C820, "mmmm")</f>
        <v>September</v>
      </c>
      <c r="AC820">
        <f>YEAR(C820)</f>
        <v>2024</v>
      </c>
      <c r="AD820" t="str">
        <f>IF(X820&lt;0, "Invalid: Ship Date Before Order Date", IF(W820&lt;0, "Invalid: Negative Discount", IF(W820&gt;0.5, "Invalid: Exceeds Allowed Discount", "OK")))</f>
        <v>Invalid: Ship Date Before Order Date</v>
      </c>
    </row>
    <row r="821" spans="1:30">
      <c r="A821" t="s">
        <v>3760</v>
      </c>
      <c r="B821" t="str">
        <f t="shared" si="12"/>
        <v>Unique</v>
      </c>
      <c r="C821" s="3">
        <v>45504</v>
      </c>
      <c r="D821" s="3">
        <v>45504</v>
      </c>
      <c r="E821" t="s">
        <v>3762</v>
      </c>
      <c r="F821" t="s">
        <v>25</v>
      </c>
      <c r="G821" t="s">
        <v>115</v>
      </c>
      <c r="H821" t="s">
        <v>62</v>
      </c>
      <c r="I821" t="s">
        <v>242</v>
      </c>
      <c r="J821" t="s">
        <v>243</v>
      </c>
      <c r="K821" t="s">
        <v>86</v>
      </c>
      <c r="L821" t="s">
        <v>382</v>
      </c>
      <c r="M821" t="s">
        <v>3764</v>
      </c>
      <c r="N821" t="s">
        <v>67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200</v>
      </c>
      <c r="V821" t="s">
        <v>78</v>
      </c>
      <c r="W821">
        <f>IF(ISBLANK(Q821), 0, IFERROR(VALUE(Q821), 0.7))</f>
        <v>0</v>
      </c>
      <c r="X821">
        <f>D821 - C821</f>
        <v>0</v>
      </c>
      <c r="Y821">
        <f>O821 * P821 * (1 - W821)</f>
        <v>33968.080000000002</v>
      </c>
      <c r="Z821">
        <f>Y821 - S821</f>
        <v>7065.6400000000031</v>
      </c>
      <c r="AA821">
        <f>IFERROR(Z821 / Y821, 0)</f>
        <v>0.20800822419165294</v>
      </c>
      <c r="AB821" t="str">
        <f>TEXT(C821, "mmmm")</f>
        <v>July</v>
      </c>
      <c r="AC821">
        <f>YEAR(C821)</f>
        <v>2024</v>
      </c>
      <c r="AD821" t="str">
        <f>IF(X821&lt;0, "Invalid: Ship Date Before Order Date", IF(W821&lt;0, "Invalid: Negative Discount", IF(W821&gt;0.5, "Invalid: Exceeds Allowed Discount", "OK")))</f>
        <v>OK</v>
      </c>
    </row>
    <row r="822" spans="1:30">
      <c r="A822" t="s">
        <v>3765</v>
      </c>
      <c r="B822" t="str">
        <f t="shared" si="12"/>
        <v>Unique</v>
      </c>
      <c r="C822" s="3">
        <v>45810</v>
      </c>
      <c r="D822" s="3">
        <v>45932</v>
      </c>
      <c r="E822" t="s">
        <v>3768</v>
      </c>
      <c r="F822" t="s">
        <v>72</v>
      </c>
      <c r="G822" t="s">
        <v>115</v>
      </c>
      <c r="H822" t="s">
        <v>27</v>
      </c>
      <c r="I822" t="s">
        <v>174</v>
      </c>
      <c r="J822" t="s">
        <v>175</v>
      </c>
      <c r="K822" t="s">
        <v>45</v>
      </c>
      <c r="L822" t="s">
        <v>204</v>
      </c>
      <c r="M822" t="s">
        <v>3769</v>
      </c>
      <c r="N822" t="s">
        <v>67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34</v>
      </c>
      <c r="V822" t="s">
        <v>35</v>
      </c>
      <c r="W822">
        <f>IF(ISBLANK(Q822), 0, IFERROR(VALUE(Q822), 0.7))</f>
        <v>0.2</v>
      </c>
      <c r="X822">
        <f>D822 - C822</f>
        <v>122</v>
      </c>
      <c r="Y822">
        <f>O822 * P822 * (1 - W822)</f>
        <v>511.31200000000001</v>
      </c>
      <c r="Z822">
        <f>Y822 - S822</f>
        <v>74.882000000000005</v>
      </c>
      <c r="AA822">
        <f>IFERROR(Z822 / Y822, 0)</f>
        <v>0.14645069937728825</v>
      </c>
      <c r="AB822" t="str">
        <f>TEXT(C822, "mmmm")</f>
        <v>June</v>
      </c>
      <c r="AC822">
        <f>YEAR(C822)</f>
        <v>2025</v>
      </c>
      <c r="AD822" t="str">
        <f>IF(X822&lt;0, "Invalid: Ship Date Before Order Date", IF(W822&lt;0, "Invalid: Negative Discount", IF(W822&gt;0.5, "Invalid: Exceeds Allowed Discount", "OK")))</f>
        <v>OK</v>
      </c>
    </row>
    <row r="823" spans="1:30">
      <c r="A823" t="s">
        <v>3770</v>
      </c>
      <c r="B823" t="str">
        <f t="shared" si="12"/>
        <v>Unique</v>
      </c>
      <c r="C823" s="3">
        <v>45476</v>
      </c>
      <c r="D823" s="3">
        <v>45450</v>
      </c>
      <c r="E823" t="s">
        <v>3773</v>
      </c>
      <c r="F823" t="s">
        <v>162</v>
      </c>
      <c r="G823" t="s">
        <v>108</v>
      </c>
      <c r="H823" t="s">
        <v>62</v>
      </c>
      <c r="I823" t="s">
        <v>229</v>
      </c>
      <c r="J823" t="s">
        <v>230</v>
      </c>
      <c r="K823" t="s">
        <v>86</v>
      </c>
      <c r="L823" t="s">
        <v>87</v>
      </c>
      <c r="M823" t="s">
        <v>3774</v>
      </c>
      <c r="N823" t="s">
        <v>56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34</v>
      </c>
      <c r="V823" t="s">
        <v>35</v>
      </c>
      <c r="W823">
        <f>IF(ISBLANK(Q823), 0, IFERROR(VALUE(Q823), 0.7))</f>
        <v>0.2</v>
      </c>
      <c r="X823">
        <f>D823 - C823</f>
        <v>-26</v>
      </c>
      <c r="Y823">
        <f>O823 * P823 * (1 - W823)</f>
        <v>10877.944000000001</v>
      </c>
      <c r="Z823">
        <f>Y823 - S823</f>
        <v>1767.8040000000019</v>
      </c>
      <c r="AA823">
        <f>IFERROR(Z823 / Y823, 0)</f>
        <v>0.16251269541376584</v>
      </c>
      <c r="AB823" t="str">
        <f>TEXT(C823, "mmmm")</f>
        <v>July</v>
      </c>
      <c r="AC823">
        <f>YEAR(C823)</f>
        <v>2024</v>
      </c>
      <c r="AD823" t="str">
        <f>IF(X823&lt;0, "Invalid: Ship Date Before Order Date", IF(W823&lt;0, "Invalid: Negative Discount", IF(W823&gt;0.5, "Invalid: Exceeds Allowed Discount", "OK")))</f>
        <v>Invalid: Ship Date Before Order Date</v>
      </c>
    </row>
    <row r="824" spans="1:30">
      <c r="A824" t="s">
        <v>3775</v>
      </c>
      <c r="B824" t="str">
        <f t="shared" si="12"/>
        <v>Unique</v>
      </c>
      <c r="C824" s="3">
        <v>45577</v>
      </c>
      <c r="D824" s="3">
        <v>45573</v>
      </c>
      <c r="E824" t="s">
        <v>3778</v>
      </c>
      <c r="F824" t="s">
        <v>40</v>
      </c>
      <c r="G824" t="s">
        <v>108</v>
      </c>
      <c r="H824" t="s">
        <v>42</v>
      </c>
      <c r="I824" t="s">
        <v>216</v>
      </c>
      <c r="J824" t="s">
        <v>217</v>
      </c>
      <c r="K824" t="s">
        <v>45</v>
      </c>
      <c r="L824" t="s">
        <v>65</v>
      </c>
      <c r="M824" t="s">
        <v>3779</v>
      </c>
      <c r="N824" t="s">
        <v>33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137</v>
      </c>
      <c r="V824" t="s">
        <v>125</v>
      </c>
      <c r="W824">
        <f>IF(ISBLANK(Q824), 0, IFERROR(VALUE(Q824), 0.7))</f>
        <v>0.2</v>
      </c>
      <c r="X824">
        <f>D824 - C824</f>
        <v>-4</v>
      </c>
      <c r="Y824">
        <f>O824 * P824 * (1 - W824)</f>
        <v>10246.528</v>
      </c>
      <c r="Z824">
        <f>Y824 - S824</f>
        <v>1612.1080000000002</v>
      </c>
      <c r="AA824">
        <f>IFERROR(Z824 / Y824, 0)</f>
        <v>0.15733212264681268</v>
      </c>
      <c r="AB824" t="str">
        <f>TEXT(C824, "mmmm")</f>
        <v>October</v>
      </c>
      <c r="AC824">
        <f>YEAR(C824)</f>
        <v>2024</v>
      </c>
      <c r="AD824" t="str">
        <f>IF(X824&lt;0, "Invalid: Ship Date Before Order Date", IF(W824&lt;0, "Invalid: Negative Discount", IF(W824&gt;0.5, "Invalid: Exceeds Allowed Discount", "OK")))</f>
        <v>Invalid: Ship Date Before Order Date</v>
      </c>
    </row>
    <row r="825" spans="1:30">
      <c r="A825" t="s">
        <v>3780</v>
      </c>
      <c r="B825" t="str">
        <f t="shared" si="12"/>
        <v>Unique</v>
      </c>
      <c r="C825" s="3">
        <v>45663</v>
      </c>
      <c r="D825" s="3">
        <v>45669</v>
      </c>
      <c r="E825" t="s">
        <v>3782</v>
      </c>
      <c r="F825" t="s">
        <v>40</v>
      </c>
      <c r="G825" t="s">
        <v>115</v>
      </c>
      <c r="H825" t="s">
        <v>73</v>
      </c>
      <c r="I825" t="s">
        <v>249</v>
      </c>
      <c r="J825" t="s">
        <v>250</v>
      </c>
      <c r="K825" t="s">
        <v>30</v>
      </c>
      <c r="L825" t="s">
        <v>31</v>
      </c>
      <c r="M825" t="s">
        <v>3783</v>
      </c>
      <c r="N825" t="s">
        <v>48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34</v>
      </c>
      <c r="V825" t="s">
        <v>35</v>
      </c>
      <c r="W825">
        <f>IF(ISBLANK(Q825), 0, IFERROR(VALUE(Q825), 0.7))</f>
        <v>0.15</v>
      </c>
      <c r="X825">
        <f>D825 - C825</f>
        <v>6</v>
      </c>
      <c r="Y825">
        <f>O825 * P825 * (1 - W825)</f>
        <v>1704.2415000000001</v>
      </c>
      <c r="Z825">
        <f>Y825 - S825</f>
        <v>746.69150000000013</v>
      </c>
      <c r="AA825">
        <f>IFERROR(Z825 / Y825, 0)</f>
        <v>0.43813714194848563</v>
      </c>
      <c r="AB825" t="str">
        <f>TEXT(C825, "mmmm")</f>
        <v>January</v>
      </c>
      <c r="AC825">
        <f>YEAR(C825)</f>
        <v>2025</v>
      </c>
      <c r="AD825" t="str">
        <f>IF(X825&lt;0, "Invalid: Ship Date Before Order Date", IF(W825&lt;0, "Invalid: Negative Discount", IF(W825&gt;0.5, "Invalid: Exceeds Allowed Discount", "OK")))</f>
        <v>OK</v>
      </c>
    </row>
    <row r="826" spans="1:30">
      <c r="A826" t="s">
        <v>3784</v>
      </c>
      <c r="B826" t="str">
        <f t="shared" si="12"/>
        <v>Unique</v>
      </c>
      <c r="C826" s="3">
        <v>45737</v>
      </c>
      <c r="D826" s="3">
        <v>45738</v>
      </c>
      <c r="E826" t="s">
        <v>3786</v>
      </c>
      <c r="F826" t="s">
        <v>142</v>
      </c>
      <c r="G826" t="s">
        <v>26</v>
      </c>
      <c r="H826" t="s">
        <v>73</v>
      </c>
      <c r="I826" t="s">
        <v>249</v>
      </c>
      <c r="J826" t="s">
        <v>250</v>
      </c>
      <c r="K826" t="s">
        <v>30</v>
      </c>
      <c r="L826" t="s">
        <v>31</v>
      </c>
      <c r="M826" t="s">
        <v>3787</v>
      </c>
      <c r="N826" t="s">
        <v>56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34</v>
      </c>
      <c r="V826" t="s">
        <v>35</v>
      </c>
      <c r="W826">
        <f>IF(ISBLANK(Q826), 0, IFERROR(VALUE(Q826), 0.7))</f>
        <v>0.05</v>
      </c>
      <c r="X826">
        <f>D826 - C826</f>
        <v>1</v>
      </c>
      <c r="Y826">
        <f>O826 * P826 * (1 - W826)</f>
        <v>33719.223999999995</v>
      </c>
      <c r="Z826">
        <f>Y826 - S826</f>
        <v>4794.7939999999944</v>
      </c>
      <c r="AA826">
        <f>IFERROR(Z826 / Y826, 0)</f>
        <v>0.14219763776295669</v>
      </c>
      <c r="AB826" t="str">
        <f>TEXT(C826, "mmmm")</f>
        <v>March</v>
      </c>
      <c r="AC826">
        <f>YEAR(C826)</f>
        <v>2025</v>
      </c>
      <c r="AD826" t="str">
        <f>IF(X826&lt;0, "Invalid: Ship Date Before Order Date", IF(W826&lt;0, "Invalid: Negative Discount", IF(W826&gt;0.5, "Invalid: Exceeds Allowed Discount", "OK")))</f>
        <v>OK</v>
      </c>
    </row>
    <row r="827" spans="1:30">
      <c r="A827" t="s">
        <v>3788</v>
      </c>
      <c r="B827" t="str">
        <f t="shared" si="12"/>
        <v>Unique</v>
      </c>
      <c r="C827" s="3">
        <v>45763</v>
      </c>
      <c r="D827" s="3">
        <v>45764</v>
      </c>
      <c r="E827" t="s">
        <v>3791</v>
      </c>
      <c r="F827" t="s">
        <v>83</v>
      </c>
      <c r="G827" t="s">
        <v>41</v>
      </c>
      <c r="H827" t="s">
        <v>27</v>
      </c>
      <c r="I827" t="s">
        <v>174</v>
      </c>
      <c r="J827" t="s">
        <v>175</v>
      </c>
      <c r="K827" t="s">
        <v>86</v>
      </c>
      <c r="L827" t="s">
        <v>382</v>
      </c>
      <c r="M827" t="s">
        <v>3792</v>
      </c>
      <c r="N827" t="s">
        <v>56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34</v>
      </c>
      <c r="V827" t="s">
        <v>35</v>
      </c>
      <c r="W827">
        <f>IF(ISBLANK(Q827), 0, IFERROR(VALUE(Q827), 0.7))</f>
        <v>0</v>
      </c>
      <c r="X827">
        <f>D827 - C827</f>
        <v>1</v>
      </c>
      <c r="Y827">
        <f>O827 * P827 * (1 - W827)</f>
        <v>2720.17</v>
      </c>
      <c r="Z827">
        <f>Y827 - S827</f>
        <v>885.94</v>
      </c>
      <c r="AA827">
        <f>IFERROR(Z827 / Y827, 0)</f>
        <v>0.3256928794891496</v>
      </c>
      <c r="AB827" t="str">
        <f>TEXT(C827, "mmmm")</f>
        <v>April</v>
      </c>
      <c r="AC827">
        <f>YEAR(C827)</f>
        <v>2025</v>
      </c>
      <c r="AD827" t="str">
        <f>IF(X827&lt;0, "Invalid: Ship Date Before Order Date", IF(W827&lt;0, "Invalid: Negative Discount", IF(W827&gt;0.5, "Invalid: Exceeds Allowed Discount", "OK")))</f>
        <v>OK</v>
      </c>
    </row>
    <row r="828" spans="1:30">
      <c r="A828" t="s">
        <v>3793</v>
      </c>
      <c r="B828" t="str">
        <f t="shared" si="12"/>
        <v>Unique</v>
      </c>
      <c r="C828" s="3">
        <v>45879</v>
      </c>
      <c r="D828" s="3">
        <v>45883</v>
      </c>
      <c r="E828" t="s">
        <v>3795</v>
      </c>
      <c r="F828" t="s">
        <v>107</v>
      </c>
      <c r="G828" t="s">
        <v>26</v>
      </c>
      <c r="H828" t="s">
        <v>73</v>
      </c>
      <c r="I828" t="s">
        <v>28</v>
      </c>
      <c r="J828" t="s">
        <v>135</v>
      </c>
      <c r="K828" t="s">
        <v>86</v>
      </c>
      <c r="L828" t="s">
        <v>87</v>
      </c>
      <c r="M828" t="s">
        <v>3796</v>
      </c>
      <c r="N828" t="s">
        <v>67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34</v>
      </c>
      <c r="V828" t="s">
        <v>35</v>
      </c>
      <c r="W828">
        <f>IF(ISBLANK(Q828), 0, IFERROR(VALUE(Q828), 0.7))</f>
        <v>0.25</v>
      </c>
      <c r="X828">
        <f>D828 - C828</f>
        <v>4</v>
      </c>
      <c r="Y828">
        <f>O828 * P828 * (1 - W828)</f>
        <v>8213.0249999999996</v>
      </c>
      <c r="Z828">
        <f>Y828 - S828</f>
        <v>2643.7249999999995</v>
      </c>
      <c r="AA828">
        <f>IFERROR(Z828 / Y828, 0)</f>
        <v>0.32189418636860345</v>
      </c>
      <c r="AB828" t="str">
        <f>TEXT(C828, "mmmm")</f>
        <v>August</v>
      </c>
      <c r="AC828">
        <f>YEAR(C828)</f>
        <v>2025</v>
      </c>
      <c r="AD828" t="str">
        <f>IF(X828&lt;0, "Invalid: Ship Date Before Order Date", IF(W828&lt;0, "Invalid: Negative Discount", IF(W828&gt;0.5, "Invalid: Exceeds Allowed Discount", "OK")))</f>
        <v>OK</v>
      </c>
    </row>
    <row r="829" spans="1:30">
      <c r="A829" t="s">
        <v>3797</v>
      </c>
      <c r="B829" t="str">
        <f t="shared" si="12"/>
        <v>Unique</v>
      </c>
      <c r="C829" s="3">
        <v>45620</v>
      </c>
      <c r="D829" s="3">
        <v>45303</v>
      </c>
      <c r="E829" t="s">
        <v>3799</v>
      </c>
      <c r="F829" t="s">
        <v>142</v>
      </c>
      <c r="G829" t="s">
        <v>115</v>
      </c>
      <c r="H829" t="s">
        <v>62</v>
      </c>
      <c r="I829" t="s">
        <v>339</v>
      </c>
      <c r="J829" t="s">
        <v>340</v>
      </c>
      <c r="K829" t="s">
        <v>30</v>
      </c>
      <c r="L829" t="s">
        <v>31</v>
      </c>
      <c r="M829" t="s">
        <v>3800</v>
      </c>
      <c r="N829" t="s">
        <v>48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34</v>
      </c>
      <c r="V829" t="s">
        <v>78</v>
      </c>
      <c r="W829">
        <f>IF(ISBLANK(Q829), 0, IFERROR(VALUE(Q829), 0.7))</f>
        <v>0.25</v>
      </c>
      <c r="X829">
        <f>D829 - C829</f>
        <v>-317</v>
      </c>
      <c r="Y829">
        <f>O829 * P829 * (1 - W829)</f>
        <v>633.66750000000002</v>
      </c>
      <c r="Z829">
        <f>Y829 - S829</f>
        <v>113.19749999999999</v>
      </c>
      <c r="AA829">
        <f>IFERROR(Z829 / Y829, 0)</f>
        <v>0.17863863934950111</v>
      </c>
      <c r="AB829" t="str">
        <f>TEXT(C829, "mmmm")</f>
        <v>November</v>
      </c>
      <c r="AC829">
        <f>YEAR(C829)</f>
        <v>2024</v>
      </c>
      <c r="AD829" t="str">
        <f>IF(X829&lt;0, "Invalid: Ship Date Before Order Date", IF(W829&lt;0, "Invalid: Negative Discount", IF(W829&gt;0.5, "Invalid: Exceeds Allowed Discount", "OK")))</f>
        <v>Invalid: Ship Date Before Order Date</v>
      </c>
    </row>
    <row r="830" spans="1:30">
      <c r="A830" t="s">
        <v>3801</v>
      </c>
      <c r="B830" t="str">
        <f t="shared" si="12"/>
        <v>Unique</v>
      </c>
      <c r="C830" s="3">
        <v>45940</v>
      </c>
      <c r="D830" s="3">
        <v>45971</v>
      </c>
      <c r="E830" t="s">
        <v>3804</v>
      </c>
      <c r="F830" t="s">
        <v>25</v>
      </c>
      <c r="G830" t="s">
        <v>108</v>
      </c>
      <c r="H830" t="s">
        <v>42</v>
      </c>
      <c r="I830" t="s">
        <v>43</v>
      </c>
      <c r="J830" t="s">
        <v>44</v>
      </c>
      <c r="K830" t="s">
        <v>45</v>
      </c>
      <c r="L830" t="s">
        <v>76</v>
      </c>
      <c r="M830" t="s">
        <v>3805</v>
      </c>
      <c r="N830" t="s">
        <v>33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200</v>
      </c>
      <c r="V830" t="s">
        <v>78</v>
      </c>
      <c r="W830">
        <f>IF(ISBLANK(Q830), 0, IFERROR(VALUE(Q830), 0.7))</f>
        <v>0.05</v>
      </c>
      <c r="X830">
        <f>D830 - C830</f>
        <v>31</v>
      </c>
      <c r="Y830">
        <f>O830 * P830 * (1 - W830)</f>
        <v>25216.534</v>
      </c>
      <c r="Z830">
        <f>Y830 - S830</f>
        <v>10999.593999999999</v>
      </c>
      <c r="AA830">
        <f>IFERROR(Z830 / Y830, 0)</f>
        <v>0.4362056260388521</v>
      </c>
      <c r="AB830" t="str">
        <f>TEXT(C830, "mmmm")</f>
        <v>October</v>
      </c>
      <c r="AC830">
        <f>YEAR(C830)</f>
        <v>2025</v>
      </c>
      <c r="AD830" t="str">
        <f>IF(X830&lt;0, "Invalid: Ship Date Before Order Date", IF(W830&lt;0, "Invalid: Negative Discount", IF(W830&gt;0.5, "Invalid: Exceeds Allowed Discount", "OK")))</f>
        <v>OK</v>
      </c>
    </row>
    <row r="831" spans="1:30">
      <c r="A831" t="s">
        <v>3806</v>
      </c>
      <c r="B831" t="str">
        <f t="shared" si="12"/>
        <v>Unique</v>
      </c>
      <c r="C831" s="3">
        <v>45348</v>
      </c>
      <c r="D831" s="3">
        <v>45350</v>
      </c>
      <c r="E831" t="s">
        <v>3808</v>
      </c>
      <c r="F831" t="s">
        <v>107</v>
      </c>
      <c r="G831" t="s">
        <v>41</v>
      </c>
      <c r="H831" t="s">
        <v>73</v>
      </c>
      <c r="I831" t="s">
        <v>249</v>
      </c>
      <c r="J831" t="s">
        <v>250</v>
      </c>
      <c r="K831" t="s">
        <v>45</v>
      </c>
      <c r="L831" t="s">
        <v>65</v>
      </c>
      <c r="M831" t="s">
        <v>3809</v>
      </c>
      <c r="N831" t="s">
        <v>33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34</v>
      </c>
      <c r="V831" t="s">
        <v>35</v>
      </c>
      <c r="W831">
        <f>IF(ISBLANK(Q831), 0, IFERROR(VALUE(Q831), 0.7))</f>
        <v>0.1</v>
      </c>
      <c r="X831">
        <f>D831 - C831</f>
        <v>2</v>
      </c>
      <c r="Y831">
        <f>O831 * P831 * (1 - W831)</f>
        <v>6521.3820000000005</v>
      </c>
      <c r="Z831">
        <f>Y831 - S831</f>
        <v>2010.2820000000002</v>
      </c>
      <c r="AA831">
        <f>IFERROR(Z831 / Y831, 0)</f>
        <v>0.30826012032418892</v>
      </c>
      <c r="AB831" t="str">
        <f>TEXT(C831, "mmmm")</f>
        <v>February</v>
      </c>
      <c r="AC831">
        <f>YEAR(C831)</f>
        <v>2024</v>
      </c>
      <c r="AD831" t="str">
        <f>IF(X831&lt;0, "Invalid: Ship Date Before Order Date", IF(W831&lt;0, "Invalid: Negative Discount", IF(W831&gt;0.5, "Invalid: Exceeds Allowed Discount", "OK")))</f>
        <v>OK</v>
      </c>
    </row>
    <row r="832" spans="1:30">
      <c r="A832" t="s">
        <v>3810</v>
      </c>
      <c r="B832" t="str">
        <f t="shared" si="12"/>
        <v>Unique</v>
      </c>
      <c r="C832" s="3">
        <v>45853</v>
      </c>
      <c r="D832" s="3">
        <v>45856</v>
      </c>
      <c r="E832" t="s">
        <v>3811</v>
      </c>
      <c r="F832" t="s">
        <v>107</v>
      </c>
      <c r="G832" t="s">
        <v>41</v>
      </c>
      <c r="H832" t="s">
        <v>4110</v>
      </c>
      <c r="I832" t="s">
        <v>339</v>
      </c>
      <c r="J832" t="s">
        <v>340</v>
      </c>
      <c r="K832" t="s">
        <v>86</v>
      </c>
      <c r="L832" t="s">
        <v>382</v>
      </c>
      <c r="M832" t="s">
        <v>3812</v>
      </c>
      <c r="N832" t="s">
        <v>56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34</v>
      </c>
      <c r="V832" t="s">
        <v>35</v>
      </c>
      <c r="W832">
        <f>IF(ISBLANK(Q832), 0, IFERROR(VALUE(Q832), 0.7))</f>
        <v>0.1</v>
      </c>
      <c r="X832">
        <f>D832 - C832</f>
        <v>3</v>
      </c>
      <c r="Y832">
        <f>O832 * P832 * (1 - W832)</f>
        <v>12867.552000000001</v>
      </c>
      <c r="Z832">
        <f>Y832 - S832</f>
        <v>2798.612000000001</v>
      </c>
      <c r="AA832">
        <f>IFERROR(Z832 / Y832, 0)</f>
        <v>0.21749373929089236</v>
      </c>
      <c r="AB832" t="str">
        <f>TEXT(C832, "mmmm")</f>
        <v>July</v>
      </c>
      <c r="AC832">
        <f>YEAR(C832)</f>
        <v>2025</v>
      </c>
      <c r="AD832" t="str">
        <f>IF(X832&lt;0, "Invalid: Ship Date Before Order Date", IF(W832&lt;0, "Invalid: Negative Discount", IF(W832&gt;0.5, "Invalid: Exceeds Allowed Discount", "OK")))</f>
        <v>OK</v>
      </c>
    </row>
    <row r="833" spans="1:30">
      <c r="A833" t="s">
        <v>3813</v>
      </c>
      <c r="B833" t="str">
        <f t="shared" si="12"/>
        <v>Unique</v>
      </c>
      <c r="C833" s="3">
        <v>45750</v>
      </c>
      <c r="D833" s="3">
        <v>45720</v>
      </c>
      <c r="E833" t="s">
        <v>3814</v>
      </c>
      <c r="F833" t="s">
        <v>210</v>
      </c>
      <c r="G833" t="s">
        <v>115</v>
      </c>
      <c r="H833" t="s">
        <v>4110</v>
      </c>
      <c r="I833" t="s">
        <v>323</v>
      </c>
      <c r="J833" t="s">
        <v>324</v>
      </c>
      <c r="K833" t="s">
        <v>45</v>
      </c>
      <c r="L833" t="s">
        <v>76</v>
      </c>
      <c r="M833" t="s">
        <v>3815</v>
      </c>
      <c r="N833" t="s">
        <v>56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200</v>
      </c>
      <c r="V833" t="s">
        <v>125</v>
      </c>
      <c r="W833">
        <f>IF(ISBLANK(Q833), 0, IFERROR(VALUE(Q833), 0.7))</f>
        <v>0.15</v>
      </c>
      <c r="X833">
        <f>D833 - C833</f>
        <v>-30</v>
      </c>
      <c r="Y833">
        <f>O833 * P833 * (1 - W833)</f>
        <v>26489.654999999999</v>
      </c>
      <c r="Z833">
        <f>Y833 - S833</f>
        <v>10671.195</v>
      </c>
      <c r="AA833">
        <f>IFERROR(Z833 / Y833, 0)</f>
        <v>0.40284386489744772</v>
      </c>
      <c r="AB833" t="str">
        <f>TEXT(C833, "mmmm")</f>
        <v>April</v>
      </c>
      <c r="AC833">
        <f>YEAR(C833)</f>
        <v>2025</v>
      </c>
      <c r="AD833" t="str">
        <f>IF(X833&lt;0, "Invalid: Ship Date Before Order Date", IF(W833&lt;0, "Invalid: Negative Discount", IF(W833&gt;0.5, "Invalid: Exceeds Allowed Discount", "OK")))</f>
        <v>Invalid: Ship Date Before Order Date</v>
      </c>
    </row>
    <row r="834" spans="1:30">
      <c r="A834" t="s">
        <v>3816</v>
      </c>
      <c r="B834" t="str">
        <f t="shared" si="12"/>
        <v>Unique</v>
      </c>
      <c r="C834" s="3">
        <v>45803</v>
      </c>
      <c r="D834" s="3">
        <v>45805</v>
      </c>
      <c r="E834" t="s">
        <v>3819</v>
      </c>
      <c r="F834" t="s">
        <v>366</v>
      </c>
      <c r="G834" t="s">
        <v>41</v>
      </c>
      <c r="H834" t="s">
        <v>62</v>
      </c>
      <c r="I834" t="s">
        <v>100</v>
      </c>
      <c r="J834" t="s">
        <v>101</v>
      </c>
      <c r="K834" t="s">
        <v>86</v>
      </c>
      <c r="L834" t="s">
        <v>223</v>
      </c>
      <c r="M834" t="s">
        <v>3820</v>
      </c>
      <c r="N834" t="s">
        <v>33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34</v>
      </c>
      <c r="V834" t="s">
        <v>35</v>
      </c>
      <c r="W834">
        <f>IF(ISBLANK(Q834), 0, IFERROR(VALUE(Q834), 0.7))</f>
        <v>0.05</v>
      </c>
      <c r="X834">
        <f>D834 - C834</f>
        <v>2</v>
      </c>
      <c r="Y834">
        <f>O834 * P834 * (1 - W834)</f>
        <v>36782.271000000008</v>
      </c>
      <c r="Z834">
        <f>Y834 - S834</f>
        <v>10879.461000000007</v>
      </c>
      <c r="AA834">
        <f>IFERROR(Z834 / Y834, 0)</f>
        <v>0.29578002402298664</v>
      </c>
      <c r="AB834" t="str">
        <f>TEXT(C834, "mmmm")</f>
        <v>May</v>
      </c>
      <c r="AC834">
        <f>YEAR(C834)</f>
        <v>2025</v>
      </c>
      <c r="AD834" t="str">
        <f>IF(X834&lt;0, "Invalid: Ship Date Before Order Date", IF(W834&lt;0, "Invalid: Negative Discount", IF(W834&gt;0.5, "Invalid: Exceeds Allowed Discount", "OK")))</f>
        <v>OK</v>
      </c>
    </row>
    <row r="835" spans="1:30">
      <c r="A835" t="s">
        <v>3821</v>
      </c>
      <c r="B835" t="str">
        <f t="shared" ref="B835:B898" si="13">IF(COUNTIF(A:A, A835)&gt;1, "Review: Duplicate Order ID", "Unique")</f>
        <v>Unique</v>
      </c>
      <c r="C835" s="3">
        <v>45447</v>
      </c>
      <c r="D835" s="3">
        <v>45447</v>
      </c>
      <c r="E835" t="s">
        <v>3824</v>
      </c>
      <c r="F835" t="s">
        <v>148</v>
      </c>
      <c r="G835" t="s">
        <v>115</v>
      </c>
      <c r="H835" t="s">
        <v>42</v>
      </c>
      <c r="I835" t="s">
        <v>121</v>
      </c>
      <c r="J835" t="s">
        <v>122</v>
      </c>
      <c r="K835" t="s">
        <v>45</v>
      </c>
      <c r="L835" t="s">
        <v>204</v>
      </c>
      <c r="M835" t="s">
        <v>3825</v>
      </c>
      <c r="N835" t="s">
        <v>56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34</v>
      </c>
      <c r="V835" t="s">
        <v>35</v>
      </c>
      <c r="W835">
        <f>IF(ISBLANK(Q835), 0, IFERROR(VALUE(Q835), 0.7))</f>
        <v>0</v>
      </c>
      <c r="X835">
        <f>D835 - C835</f>
        <v>0</v>
      </c>
      <c r="Y835">
        <f>O835 * P835 * (1 - W835)</f>
        <v>23696.400000000001</v>
      </c>
      <c r="Z835">
        <f>Y835 - S835</f>
        <v>5586.630000000001</v>
      </c>
      <c r="AA835">
        <f>IFERROR(Z835 / Y835, 0)</f>
        <v>0.23575859624246723</v>
      </c>
      <c r="AB835" t="str">
        <f>TEXT(C835, "mmmm")</f>
        <v>June</v>
      </c>
      <c r="AC835">
        <f>YEAR(C835)</f>
        <v>2024</v>
      </c>
      <c r="AD835" t="str">
        <f>IF(X835&lt;0, "Invalid: Ship Date Before Order Date", IF(W835&lt;0, "Invalid: Negative Discount", IF(W835&gt;0.5, "Invalid: Exceeds Allowed Discount", "OK")))</f>
        <v>OK</v>
      </c>
    </row>
    <row r="836" spans="1:30">
      <c r="A836" t="s">
        <v>3826</v>
      </c>
      <c r="B836" t="str">
        <f t="shared" si="13"/>
        <v>Unique</v>
      </c>
      <c r="C836" s="3">
        <v>45583</v>
      </c>
      <c r="D836" s="3">
        <v>45587</v>
      </c>
      <c r="E836" t="s">
        <v>3828</v>
      </c>
      <c r="F836" t="s">
        <v>162</v>
      </c>
      <c r="G836" t="s">
        <v>115</v>
      </c>
      <c r="H836" t="s">
        <v>62</v>
      </c>
      <c r="I836" t="s">
        <v>63</v>
      </c>
      <c r="J836" t="s">
        <v>64</v>
      </c>
      <c r="K836" t="s">
        <v>30</v>
      </c>
      <c r="L836" t="s">
        <v>54</v>
      </c>
      <c r="M836" t="s">
        <v>3829</v>
      </c>
      <c r="N836" t="s">
        <v>56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34</v>
      </c>
      <c r="V836" t="s">
        <v>35</v>
      </c>
      <c r="W836">
        <f>IF(ISBLANK(Q836), 0, IFERROR(VALUE(Q836), 0.7))</f>
        <v>0</v>
      </c>
      <c r="X836">
        <f>D836 - C836</f>
        <v>4</v>
      </c>
      <c r="Y836">
        <f>O836 * P836 * (1 - W836)</f>
        <v>4047.66</v>
      </c>
      <c r="Z836">
        <f>Y836 - S836</f>
        <v>968.73</v>
      </c>
      <c r="AA836">
        <f>IFERROR(Z836 / Y836, 0)</f>
        <v>0.23933087265234729</v>
      </c>
      <c r="AB836" t="str">
        <f>TEXT(C836, "mmmm")</f>
        <v>October</v>
      </c>
      <c r="AC836">
        <f>YEAR(C836)</f>
        <v>2024</v>
      </c>
      <c r="AD836" t="str">
        <f>IF(X836&lt;0, "Invalid: Ship Date Before Order Date", IF(W836&lt;0, "Invalid: Negative Discount", IF(W836&gt;0.5, "Invalid: Exceeds Allowed Discount", "OK")))</f>
        <v>OK</v>
      </c>
    </row>
    <row r="837" spans="1:30">
      <c r="A837" t="s">
        <v>3830</v>
      </c>
      <c r="B837" t="str">
        <f t="shared" si="13"/>
        <v>Unique</v>
      </c>
      <c r="C837" s="3">
        <v>45926</v>
      </c>
      <c r="D837" s="3">
        <v>45757</v>
      </c>
      <c r="E837" t="s">
        <v>3831</v>
      </c>
      <c r="F837" t="s">
        <v>142</v>
      </c>
      <c r="G837" t="s">
        <v>41</v>
      </c>
      <c r="H837" t="s">
        <v>42</v>
      </c>
      <c r="I837" t="s">
        <v>216</v>
      </c>
      <c r="J837" t="s">
        <v>217</v>
      </c>
      <c r="K837" t="s">
        <v>86</v>
      </c>
      <c r="L837" t="s">
        <v>223</v>
      </c>
      <c r="M837" t="s">
        <v>3832</v>
      </c>
      <c r="N837" t="s">
        <v>33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34</v>
      </c>
      <c r="V837" t="s">
        <v>35</v>
      </c>
      <c r="W837">
        <f>IF(ISBLANK(Q837), 0, IFERROR(VALUE(Q837), 0.7))</f>
        <v>0.05</v>
      </c>
      <c r="X837">
        <f>D837 - C837</f>
        <v>-169</v>
      </c>
      <c r="Y837">
        <f>O837 * P837 * (1 - W837)</f>
        <v>10038.773499999999</v>
      </c>
      <c r="Z837">
        <f>Y837 - S837</f>
        <v>4365.673499999999</v>
      </c>
      <c r="AA837">
        <f>IFERROR(Z837 / Y837, 0)</f>
        <v>0.43488116352062323</v>
      </c>
      <c r="AB837" t="str">
        <f>TEXT(C837, "mmmm")</f>
        <v>September</v>
      </c>
      <c r="AC837">
        <f>YEAR(C837)</f>
        <v>2025</v>
      </c>
      <c r="AD837" t="str">
        <f>IF(X837&lt;0, "Invalid: Ship Date Before Order Date", IF(W837&lt;0, "Invalid: Negative Discount", IF(W837&gt;0.5, "Invalid: Exceeds Allowed Discount", "OK")))</f>
        <v>Invalid: Ship Date Before Order Date</v>
      </c>
    </row>
    <row r="838" spans="1:30">
      <c r="A838" t="s">
        <v>3833</v>
      </c>
      <c r="B838" t="str">
        <f t="shared" si="13"/>
        <v>Unique</v>
      </c>
      <c r="C838" s="3">
        <v>45641</v>
      </c>
      <c r="D838" s="3">
        <v>45644</v>
      </c>
      <c r="E838" t="s">
        <v>3835</v>
      </c>
      <c r="F838" t="s">
        <v>53</v>
      </c>
      <c r="G838" t="s">
        <v>41</v>
      </c>
      <c r="H838" t="s">
        <v>27</v>
      </c>
      <c r="I838" t="s">
        <v>28</v>
      </c>
      <c r="J838" t="s">
        <v>29</v>
      </c>
      <c r="K838" t="s">
        <v>30</v>
      </c>
      <c r="L838" t="s">
        <v>109</v>
      </c>
      <c r="M838" t="s">
        <v>3836</v>
      </c>
      <c r="N838" t="s">
        <v>33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34</v>
      </c>
      <c r="V838" t="s">
        <v>35</v>
      </c>
      <c r="W838">
        <f>IF(ISBLANK(Q838), 0, IFERROR(VALUE(Q838), 0.7))</f>
        <v>0</v>
      </c>
      <c r="X838">
        <f>D838 - C838</f>
        <v>3</v>
      </c>
      <c r="Y838">
        <f>O838 * P838 * (1 - W838)</f>
        <v>1074.22</v>
      </c>
      <c r="Z838">
        <f>Y838 - S838</f>
        <v>223.36</v>
      </c>
      <c r="AA838">
        <f>IFERROR(Z838 / Y838, 0)</f>
        <v>0.20792761259332354</v>
      </c>
      <c r="AB838" t="str">
        <f>TEXT(C838, "mmmm")</f>
        <v>December</v>
      </c>
      <c r="AC838">
        <f>YEAR(C838)</f>
        <v>2024</v>
      </c>
      <c r="AD838" t="str">
        <f>IF(X838&lt;0, "Invalid: Ship Date Before Order Date", IF(W838&lt;0, "Invalid: Negative Discount", IF(W838&gt;0.5, "Invalid: Exceeds Allowed Discount", "OK")))</f>
        <v>OK</v>
      </c>
    </row>
    <row r="839" spans="1:30">
      <c r="A839" t="s">
        <v>3837</v>
      </c>
      <c r="B839" t="str">
        <f t="shared" si="13"/>
        <v>Unique</v>
      </c>
      <c r="C839" s="3">
        <v>45927</v>
      </c>
      <c r="D839" s="3">
        <v>45928</v>
      </c>
      <c r="E839" t="s">
        <v>3839</v>
      </c>
      <c r="F839" t="s">
        <v>25</v>
      </c>
      <c r="G839" t="s">
        <v>115</v>
      </c>
      <c r="H839" t="s">
        <v>73</v>
      </c>
      <c r="I839" t="s">
        <v>74</v>
      </c>
      <c r="J839" t="s">
        <v>75</v>
      </c>
      <c r="K839" t="s">
        <v>30</v>
      </c>
      <c r="L839" t="s">
        <v>31</v>
      </c>
      <c r="M839" t="s">
        <v>3840</v>
      </c>
      <c r="N839" t="s">
        <v>56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34</v>
      </c>
      <c r="V839" t="s">
        <v>35</v>
      </c>
      <c r="W839">
        <f>IF(ISBLANK(Q839), 0, IFERROR(VALUE(Q839), 0.7))</f>
        <v>0.25</v>
      </c>
      <c r="X839">
        <f>D839 - C839</f>
        <v>1</v>
      </c>
      <c r="Y839">
        <f>O839 * P839 * (1 - W839)</f>
        <v>9399.6674999999996</v>
      </c>
      <c r="Z839">
        <f>Y839 - S839</f>
        <v>2859.2974999999997</v>
      </c>
      <c r="AA839">
        <f>IFERROR(Z839 / Y839, 0)</f>
        <v>0.30419134506619516</v>
      </c>
      <c r="AB839" t="str">
        <f>TEXT(C839, "mmmm")</f>
        <v>September</v>
      </c>
      <c r="AC839">
        <f>YEAR(C839)</f>
        <v>2025</v>
      </c>
      <c r="AD839" t="str">
        <f>IF(X839&lt;0, "Invalid: Ship Date Before Order Date", IF(W839&lt;0, "Invalid: Negative Discount", IF(W839&gt;0.5, "Invalid: Exceeds Allowed Discount", "OK")))</f>
        <v>OK</v>
      </c>
    </row>
    <row r="840" spans="1:30">
      <c r="A840" t="s">
        <v>3841</v>
      </c>
      <c r="B840" t="str">
        <f t="shared" si="13"/>
        <v>Unique</v>
      </c>
      <c r="C840" s="3">
        <v>45750</v>
      </c>
      <c r="D840" s="3">
        <v>45754</v>
      </c>
      <c r="E840" t="s">
        <v>3843</v>
      </c>
      <c r="F840" t="s">
        <v>72</v>
      </c>
      <c r="G840" t="s">
        <v>41</v>
      </c>
      <c r="H840" t="s">
        <v>73</v>
      </c>
      <c r="I840" t="s">
        <v>249</v>
      </c>
      <c r="J840" t="s">
        <v>250</v>
      </c>
      <c r="K840" t="s">
        <v>30</v>
      </c>
      <c r="L840" t="s">
        <v>31</v>
      </c>
      <c r="M840" t="s">
        <v>3844</v>
      </c>
      <c r="N840" t="s">
        <v>48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34</v>
      </c>
      <c r="V840" t="s">
        <v>125</v>
      </c>
      <c r="W840">
        <f>IF(ISBLANK(Q840), 0, IFERROR(VALUE(Q840), 0.7))</f>
        <v>0</v>
      </c>
      <c r="X840">
        <f>D840 - C840</f>
        <v>4</v>
      </c>
      <c r="Y840">
        <f>O840 * P840 * (1 - W840)</f>
        <v>1470.57</v>
      </c>
      <c r="Z840">
        <f>Y840 - S840</f>
        <v>636.54999999999995</v>
      </c>
      <c r="AA840">
        <f>IFERROR(Z840 / Y840, 0)</f>
        <v>0.43285936745615644</v>
      </c>
      <c r="AB840" t="str">
        <f>TEXT(C840, "mmmm")</f>
        <v>April</v>
      </c>
      <c r="AC840">
        <f>YEAR(C840)</f>
        <v>2025</v>
      </c>
      <c r="AD840" t="str">
        <f>IF(X840&lt;0, "Invalid: Ship Date Before Order Date", IF(W840&lt;0, "Invalid: Negative Discount", IF(W840&gt;0.5, "Invalid: Exceeds Allowed Discount", "OK")))</f>
        <v>OK</v>
      </c>
    </row>
    <row r="841" spans="1:30">
      <c r="A841" t="s">
        <v>3845</v>
      </c>
      <c r="B841" t="str">
        <f t="shared" si="13"/>
        <v>Unique</v>
      </c>
      <c r="C841" s="3">
        <v>45555</v>
      </c>
      <c r="D841" s="3">
        <v>45557</v>
      </c>
      <c r="E841" t="s">
        <v>3848</v>
      </c>
      <c r="F841" t="s">
        <v>180</v>
      </c>
      <c r="G841" t="s">
        <v>115</v>
      </c>
      <c r="H841" t="s">
        <v>42</v>
      </c>
      <c r="I841" t="s">
        <v>43</v>
      </c>
      <c r="J841" t="s">
        <v>44</v>
      </c>
      <c r="K841" t="s">
        <v>86</v>
      </c>
      <c r="L841" t="s">
        <v>223</v>
      </c>
      <c r="M841" t="s">
        <v>3849</v>
      </c>
      <c r="N841" t="s">
        <v>67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34</v>
      </c>
      <c r="V841" t="s">
        <v>35</v>
      </c>
      <c r="W841">
        <f>IF(ISBLANK(Q841), 0, IFERROR(VALUE(Q841), 0.7))</f>
        <v>0.1</v>
      </c>
      <c r="X841">
        <f>D841 - C841</f>
        <v>2</v>
      </c>
      <c r="Y841">
        <f>O841 * P841 * (1 - W841)</f>
        <v>3826.2959999999998</v>
      </c>
      <c r="Z841">
        <f>Y841 - S841</f>
        <v>1632.1759999999999</v>
      </c>
      <c r="AA841">
        <f>IFERROR(Z841 / Y841, 0)</f>
        <v>0.42656814841298218</v>
      </c>
      <c r="AB841" t="str">
        <f>TEXT(C841, "mmmm")</f>
        <v>September</v>
      </c>
      <c r="AC841">
        <f>YEAR(C841)</f>
        <v>2024</v>
      </c>
      <c r="AD841" t="str">
        <f>IF(X841&lt;0, "Invalid: Ship Date Before Order Date", IF(W841&lt;0, "Invalid: Negative Discount", IF(W841&gt;0.5, "Invalid: Exceeds Allowed Discount", "OK")))</f>
        <v>OK</v>
      </c>
    </row>
    <row r="842" spans="1:30">
      <c r="A842" t="s">
        <v>3850</v>
      </c>
      <c r="B842" t="str">
        <f t="shared" si="13"/>
        <v>Unique</v>
      </c>
      <c r="C842" s="3">
        <v>45919</v>
      </c>
      <c r="D842" s="3">
        <v>45919</v>
      </c>
      <c r="E842" t="s">
        <v>3851</v>
      </c>
      <c r="F842" t="s">
        <v>93</v>
      </c>
      <c r="G842" t="s">
        <v>115</v>
      </c>
      <c r="H842" t="s">
        <v>27</v>
      </c>
      <c r="I842" t="s">
        <v>506</v>
      </c>
      <c r="J842" t="s">
        <v>507</v>
      </c>
      <c r="K842" t="s">
        <v>45</v>
      </c>
      <c r="L842" t="s">
        <v>76</v>
      </c>
      <c r="M842" t="s">
        <v>3852</v>
      </c>
      <c r="N842" t="s">
        <v>48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34</v>
      </c>
      <c r="V842" t="s">
        <v>35</v>
      </c>
      <c r="W842">
        <f>IF(ISBLANK(Q842), 0, IFERROR(VALUE(Q842), 0.7))</f>
        <v>0</v>
      </c>
      <c r="X842">
        <f>D842 - C842</f>
        <v>0</v>
      </c>
      <c r="Y842">
        <f>O842 * P842 * (1 - W842)</f>
        <v>6336.44</v>
      </c>
      <c r="Z842">
        <f>Y842 - S842</f>
        <v>1655.7599999999993</v>
      </c>
      <c r="AA842">
        <f>IFERROR(Z842 / Y842, 0)</f>
        <v>0.26130761121386764</v>
      </c>
      <c r="AB842" t="str">
        <f>TEXT(C842, "mmmm")</f>
        <v>September</v>
      </c>
      <c r="AC842">
        <f>YEAR(C842)</f>
        <v>2025</v>
      </c>
      <c r="AD842" t="str">
        <f>IF(X842&lt;0, "Invalid: Ship Date Before Order Date", IF(W842&lt;0, "Invalid: Negative Discount", IF(W842&gt;0.5, "Invalid: Exceeds Allowed Discount", "OK")))</f>
        <v>OK</v>
      </c>
    </row>
    <row r="843" spans="1:30">
      <c r="A843" t="s">
        <v>3853</v>
      </c>
      <c r="B843" t="str">
        <f t="shared" si="13"/>
        <v>Unique</v>
      </c>
      <c r="C843" s="3">
        <v>45694</v>
      </c>
      <c r="D843" s="3">
        <v>45700</v>
      </c>
      <c r="E843" t="s">
        <v>3856</v>
      </c>
      <c r="F843" t="s">
        <v>72</v>
      </c>
      <c r="G843" t="s">
        <v>41</v>
      </c>
      <c r="H843" t="s">
        <v>42</v>
      </c>
      <c r="I843" t="s">
        <v>186</v>
      </c>
      <c r="J843" t="s">
        <v>187</v>
      </c>
      <c r="K843" t="s">
        <v>30</v>
      </c>
      <c r="L843" t="s">
        <v>54</v>
      </c>
      <c r="M843" t="s">
        <v>3857</v>
      </c>
      <c r="N843" t="s">
        <v>67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34</v>
      </c>
      <c r="V843" t="s">
        <v>35</v>
      </c>
      <c r="W843">
        <f>IF(ISBLANK(Q843), 0, IFERROR(VALUE(Q843), 0.7))</f>
        <v>0.25</v>
      </c>
      <c r="X843">
        <f>D843 - C843</f>
        <v>6</v>
      </c>
      <c r="Y843">
        <f>O843 * P843 * (1 - W843)</f>
        <v>21850.829999999998</v>
      </c>
      <c r="Z843">
        <f>Y843 - S843</f>
        <v>5250.6999999999971</v>
      </c>
      <c r="AA843">
        <f>IFERROR(Z843 / Y843, 0)</f>
        <v>0.2402975081495759</v>
      </c>
      <c r="AB843" t="str">
        <f>TEXT(C843, "mmmm")</f>
        <v>February</v>
      </c>
      <c r="AC843">
        <f>YEAR(C843)</f>
        <v>2025</v>
      </c>
      <c r="AD843" t="str">
        <f>IF(X843&lt;0, "Invalid: Ship Date Before Order Date", IF(W843&lt;0, "Invalid: Negative Discount", IF(W843&gt;0.5, "Invalid: Exceeds Allowed Discount", "OK")))</f>
        <v>OK</v>
      </c>
    </row>
    <row r="844" spans="1:30">
      <c r="A844" t="s">
        <v>3858</v>
      </c>
      <c r="B844" t="str">
        <f t="shared" si="13"/>
        <v>Unique</v>
      </c>
      <c r="C844" s="3">
        <v>45382</v>
      </c>
      <c r="D844" s="3">
        <v>45381</v>
      </c>
      <c r="E844" t="s">
        <v>3861</v>
      </c>
      <c r="F844" t="s">
        <v>366</v>
      </c>
      <c r="G844" t="s">
        <v>26</v>
      </c>
      <c r="H844" t="s">
        <v>27</v>
      </c>
      <c r="I844" t="s">
        <v>323</v>
      </c>
      <c r="J844" t="s">
        <v>324</v>
      </c>
      <c r="K844" t="s">
        <v>86</v>
      </c>
      <c r="L844" t="s">
        <v>382</v>
      </c>
      <c r="M844" t="s">
        <v>3863</v>
      </c>
      <c r="N844" t="s">
        <v>56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34</v>
      </c>
      <c r="V844" t="s">
        <v>125</v>
      </c>
      <c r="W844">
        <f>IF(ISBLANK(Q844), 0, IFERROR(VALUE(Q844), 0.7))</f>
        <v>0.15</v>
      </c>
      <c r="X844">
        <f>D844 - C844</f>
        <v>-1</v>
      </c>
      <c r="Y844">
        <f>O844 * P844 * (1 - W844)</f>
        <v>7453.0719999999992</v>
      </c>
      <c r="Z844">
        <f>Y844 - S844</f>
        <v>2319.2919999999995</v>
      </c>
      <c r="AA844">
        <f>IFERROR(Z844 / Y844, 0)</f>
        <v>0.31118604516365866</v>
      </c>
      <c r="AB844" t="str">
        <f>TEXT(C844, "mmmm")</f>
        <v>March</v>
      </c>
      <c r="AC844">
        <f>YEAR(C844)</f>
        <v>2024</v>
      </c>
      <c r="AD844" t="str">
        <f>IF(X844&lt;0, "Invalid: Ship Date Before Order Date", IF(W844&lt;0, "Invalid: Negative Discount", IF(W844&gt;0.5, "Invalid: Exceeds Allowed Discount", "OK")))</f>
        <v>Invalid: Ship Date Before Order Date</v>
      </c>
    </row>
    <row r="845" spans="1:30">
      <c r="A845" t="s">
        <v>3864</v>
      </c>
      <c r="B845" t="str">
        <f t="shared" si="13"/>
        <v>Unique</v>
      </c>
      <c r="C845" s="3">
        <v>45856</v>
      </c>
      <c r="D845" s="3">
        <v>45863</v>
      </c>
      <c r="E845" t="s">
        <v>3866</v>
      </c>
      <c r="F845" t="s">
        <v>142</v>
      </c>
      <c r="G845" t="s">
        <v>41</v>
      </c>
      <c r="H845" t="s">
        <v>27</v>
      </c>
      <c r="I845" t="s">
        <v>174</v>
      </c>
      <c r="J845" t="s">
        <v>175</v>
      </c>
      <c r="K845" t="s">
        <v>86</v>
      </c>
      <c r="L845" t="s">
        <v>223</v>
      </c>
      <c r="M845" t="s">
        <v>3867</v>
      </c>
      <c r="N845" t="s">
        <v>56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34</v>
      </c>
      <c r="V845" t="s">
        <v>35</v>
      </c>
      <c r="W845">
        <f>IF(ISBLANK(Q845), 0, IFERROR(VALUE(Q845), 0.7))</f>
        <v>-0.02</v>
      </c>
      <c r="X845">
        <f>D845 - C845</f>
        <v>7</v>
      </c>
      <c r="Y845">
        <f>O845 * P845 * (1 - W845)</f>
        <v>36623.793600000005</v>
      </c>
      <c r="Z845">
        <f>Y845 - S845</f>
        <v>12707.693600000006</v>
      </c>
      <c r="AA845">
        <f>IFERROR(Z845 / Y845, 0)</f>
        <v>0.34697917257812433</v>
      </c>
      <c r="AB845" t="str">
        <f>TEXT(C845, "mmmm")</f>
        <v>July</v>
      </c>
      <c r="AC845">
        <f>YEAR(C845)</f>
        <v>2025</v>
      </c>
      <c r="AD845" t="str">
        <f>IF(X845&lt;0, "Invalid: Ship Date Before Order Date", IF(W845&lt;0, "Invalid: Negative Discount", IF(W845&gt;0.5, "Invalid: Exceeds Allowed Discount", "OK")))</f>
        <v>Invalid: Negative Discount</v>
      </c>
    </row>
    <row r="846" spans="1:30">
      <c r="A846" t="s">
        <v>3868</v>
      </c>
      <c r="B846" t="str">
        <f t="shared" si="13"/>
        <v>Unique</v>
      </c>
      <c r="C846" s="3">
        <v>45677</v>
      </c>
      <c r="D846" s="3">
        <v>45682</v>
      </c>
      <c r="E846" t="s">
        <v>3871</v>
      </c>
      <c r="F846" t="s">
        <v>107</v>
      </c>
      <c r="G846" t="s">
        <v>115</v>
      </c>
      <c r="H846" t="s">
        <v>73</v>
      </c>
      <c r="I846" t="s">
        <v>249</v>
      </c>
      <c r="J846" t="s">
        <v>250</v>
      </c>
      <c r="K846" t="s">
        <v>30</v>
      </c>
      <c r="L846" t="s">
        <v>54</v>
      </c>
      <c r="M846" t="s">
        <v>3872</v>
      </c>
      <c r="N846" t="s">
        <v>56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34</v>
      </c>
      <c r="V846" t="s">
        <v>35</v>
      </c>
      <c r="W846">
        <f>IF(ISBLANK(Q846), 0, IFERROR(VALUE(Q846), 0.7))</f>
        <v>0</v>
      </c>
      <c r="X846">
        <f>D846 - C846</f>
        <v>5</v>
      </c>
      <c r="Y846">
        <f>O846 * P846 * (1 - W846)</f>
        <v>3515.15</v>
      </c>
      <c r="Z846">
        <f>Y846 - S846</f>
        <v>1298.81</v>
      </c>
      <c r="AA846">
        <f>IFERROR(Z846 / Y846, 0)</f>
        <v>0.36948921098672882</v>
      </c>
      <c r="AB846" t="str">
        <f>TEXT(C846, "mmmm")</f>
        <v>January</v>
      </c>
      <c r="AC846">
        <f>YEAR(C846)</f>
        <v>2025</v>
      </c>
      <c r="AD846" t="str">
        <f>IF(X846&lt;0, "Invalid: Ship Date Before Order Date", IF(W846&lt;0, "Invalid: Negative Discount", IF(W846&gt;0.5, "Invalid: Exceeds Allowed Discount", "OK")))</f>
        <v>OK</v>
      </c>
    </row>
    <row r="847" spans="1:30">
      <c r="A847" t="s">
        <v>3873</v>
      </c>
      <c r="B847" t="str">
        <f t="shared" si="13"/>
        <v>Unique</v>
      </c>
      <c r="C847" s="3">
        <v>45345</v>
      </c>
      <c r="D847" s="3">
        <v>45349</v>
      </c>
      <c r="E847" t="s">
        <v>893</v>
      </c>
      <c r="F847" t="s">
        <v>25</v>
      </c>
      <c r="G847" t="s">
        <v>26</v>
      </c>
      <c r="H847" t="s">
        <v>42</v>
      </c>
      <c r="I847" t="s">
        <v>43</v>
      </c>
      <c r="J847" t="s">
        <v>44</v>
      </c>
      <c r="K847" t="s">
        <v>45</v>
      </c>
      <c r="L847" t="s">
        <v>46</v>
      </c>
      <c r="M847" t="s">
        <v>3875</v>
      </c>
      <c r="N847" t="s">
        <v>56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137</v>
      </c>
      <c r="V847" t="s">
        <v>125</v>
      </c>
      <c r="W847">
        <f>IF(ISBLANK(Q847), 0, IFERROR(VALUE(Q847), 0.7))</f>
        <v>0.25</v>
      </c>
      <c r="X847">
        <f>D847 - C847</f>
        <v>4</v>
      </c>
      <c r="Y847">
        <f>O847 * P847 * (1 - W847)</f>
        <v>24409.552499999998</v>
      </c>
      <c r="Z847">
        <f>Y847 - S847</f>
        <v>7251.9724999999962</v>
      </c>
      <c r="AA847">
        <f>IFERROR(Z847 / Y847, 0)</f>
        <v>0.29709567596538267</v>
      </c>
      <c r="AB847" t="str">
        <f>TEXT(C847, "mmmm")</f>
        <v>February</v>
      </c>
      <c r="AC847">
        <f>YEAR(C847)</f>
        <v>2024</v>
      </c>
      <c r="AD847" t="str">
        <f>IF(X847&lt;0, "Invalid: Ship Date Before Order Date", IF(W847&lt;0, "Invalid: Negative Discount", IF(W847&gt;0.5, "Invalid: Exceeds Allowed Discount", "OK")))</f>
        <v>OK</v>
      </c>
    </row>
    <row r="848" spans="1:30">
      <c r="A848" t="s">
        <v>3876</v>
      </c>
      <c r="B848" t="str">
        <f t="shared" si="13"/>
        <v>Unique</v>
      </c>
      <c r="C848" s="3">
        <v>45396</v>
      </c>
      <c r="D848" s="3">
        <v>45404</v>
      </c>
      <c r="E848" t="s">
        <v>3879</v>
      </c>
      <c r="F848" t="s">
        <v>142</v>
      </c>
      <c r="G848" t="s">
        <v>41</v>
      </c>
      <c r="H848" t="s">
        <v>73</v>
      </c>
      <c r="I848" t="s">
        <v>235</v>
      </c>
      <c r="J848" t="s">
        <v>236</v>
      </c>
      <c r="K848" t="s">
        <v>45</v>
      </c>
      <c r="L848" t="s">
        <v>204</v>
      </c>
      <c r="M848" t="s">
        <v>3880</v>
      </c>
      <c r="N848" t="s">
        <v>67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137</v>
      </c>
      <c r="V848" t="s">
        <v>125</v>
      </c>
      <c r="W848">
        <f>IF(ISBLANK(Q848), 0, IFERROR(VALUE(Q848), 0.7))</f>
        <v>0</v>
      </c>
      <c r="X848">
        <f>D848 - C848</f>
        <v>8</v>
      </c>
      <c r="Y848">
        <f>O848 * P848 * (1 - W848)</f>
        <v>7955.04</v>
      </c>
      <c r="Z848">
        <f>Y848 - S848</f>
        <v>2374.3599999999997</v>
      </c>
      <c r="AA848">
        <f>IFERROR(Z848 / Y848, 0)</f>
        <v>0.29847241497214339</v>
      </c>
      <c r="AB848" t="str">
        <f>TEXT(C848, "mmmm")</f>
        <v>April</v>
      </c>
      <c r="AC848">
        <f>YEAR(C848)</f>
        <v>2024</v>
      </c>
      <c r="AD848" t="str">
        <f>IF(X848&lt;0, "Invalid: Ship Date Before Order Date", IF(W848&lt;0, "Invalid: Negative Discount", IF(W848&gt;0.5, "Invalid: Exceeds Allowed Discount", "OK")))</f>
        <v>OK</v>
      </c>
    </row>
    <row r="849" spans="1:30">
      <c r="A849" t="s">
        <v>3881</v>
      </c>
      <c r="B849" t="str">
        <f t="shared" si="13"/>
        <v>Unique</v>
      </c>
      <c r="C849" s="3">
        <v>45797</v>
      </c>
      <c r="D849" s="3">
        <v>45799</v>
      </c>
      <c r="E849" t="s">
        <v>3884</v>
      </c>
      <c r="F849" t="s">
        <v>210</v>
      </c>
      <c r="G849" t="s">
        <v>115</v>
      </c>
      <c r="H849" t="s">
        <v>42</v>
      </c>
      <c r="I849" t="s">
        <v>43</v>
      </c>
      <c r="J849" t="s">
        <v>44</v>
      </c>
      <c r="K849" t="s">
        <v>45</v>
      </c>
      <c r="L849" t="s">
        <v>46</v>
      </c>
      <c r="M849" t="s">
        <v>3885</v>
      </c>
      <c r="N849" t="s">
        <v>33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34</v>
      </c>
      <c r="V849" t="s">
        <v>35</v>
      </c>
      <c r="W849">
        <f>IF(ISBLANK(Q849), 0, IFERROR(VALUE(Q849), 0.7))</f>
        <v>0.2</v>
      </c>
      <c r="X849">
        <f>D849 - C849</f>
        <v>2</v>
      </c>
      <c r="Y849">
        <f>O849 * P849 * (1 - W849)</f>
        <v>336.12800000000004</v>
      </c>
      <c r="Z849">
        <f>Y849 - S849</f>
        <v>93.938000000000045</v>
      </c>
      <c r="AA849">
        <f>IFERROR(Z849 / Y849, 0)</f>
        <v>0.27947091584158423</v>
      </c>
      <c r="AB849" t="str">
        <f>TEXT(C849, "mmmm")</f>
        <v>May</v>
      </c>
      <c r="AC849">
        <f>YEAR(C849)</f>
        <v>2025</v>
      </c>
      <c r="AD849" t="str">
        <f>IF(X849&lt;0, "Invalid: Ship Date Before Order Date", IF(W849&lt;0, "Invalid: Negative Discount", IF(W849&gt;0.5, "Invalid: Exceeds Allowed Discount", "OK")))</f>
        <v>OK</v>
      </c>
    </row>
    <row r="850" spans="1:30">
      <c r="A850" t="s">
        <v>3886</v>
      </c>
      <c r="B850" t="str">
        <f t="shared" si="13"/>
        <v>Unique</v>
      </c>
      <c r="C850" s="3">
        <v>45804</v>
      </c>
      <c r="D850" s="3">
        <v>45806</v>
      </c>
      <c r="E850" t="s">
        <v>3888</v>
      </c>
      <c r="F850" t="s">
        <v>148</v>
      </c>
      <c r="G850" t="s">
        <v>115</v>
      </c>
      <c r="H850" t="s">
        <v>62</v>
      </c>
      <c r="I850" t="s">
        <v>339</v>
      </c>
      <c r="J850" t="s">
        <v>340</v>
      </c>
      <c r="K850" t="s">
        <v>45</v>
      </c>
      <c r="L850" t="s">
        <v>65</v>
      </c>
      <c r="M850" t="s">
        <v>3889</v>
      </c>
      <c r="N850" t="s">
        <v>33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34</v>
      </c>
      <c r="V850" t="s">
        <v>35</v>
      </c>
      <c r="W850">
        <f>IF(ISBLANK(Q850), 0, IFERROR(VALUE(Q850), 0.7))</f>
        <v>0.25</v>
      </c>
      <c r="X850">
        <f>D850 - C850</f>
        <v>2</v>
      </c>
      <c r="Y850">
        <f>O850 * P850 * (1 - W850)</f>
        <v>1308.2624999999998</v>
      </c>
      <c r="Z850">
        <f>Y850 - S850</f>
        <v>224.70249999999987</v>
      </c>
      <c r="AA850">
        <f>IFERROR(Z850 / Y850, 0)</f>
        <v>0.17175643267310645</v>
      </c>
      <c r="AB850" t="str">
        <f>TEXT(C850, "mmmm")</f>
        <v>May</v>
      </c>
      <c r="AC850">
        <f>YEAR(C850)</f>
        <v>2025</v>
      </c>
      <c r="AD850" t="str">
        <f>IF(X850&lt;0, "Invalid: Ship Date Before Order Date", IF(W850&lt;0, "Invalid: Negative Discount", IF(W850&gt;0.5, "Invalid: Exceeds Allowed Discount", "OK")))</f>
        <v>OK</v>
      </c>
    </row>
    <row r="851" spans="1:30">
      <c r="A851" t="s">
        <v>3890</v>
      </c>
      <c r="B851" t="str">
        <f t="shared" si="13"/>
        <v>Unique</v>
      </c>
      <c r="C851" s="3">
        <v>45357</v>
      </c>
      <c r="D851" s="3">
        <v>45629</v>
      </c>
      <c r="E851" t="s">
        <v>3892</v>
      </c>
      <c r="F851" t="s">
        <v>53</v>
      </c>
      <c r="G851" t="s">
        <v>115</v>
      </c>
      <c r="H851" t="s">
        <v>73</v>
      </c>
      <c r="I851" t="s">
        <v>235</v>
      </c>
      <c r="J851" t="s">
        <v>236</v>
      </c>
      <c r="K851" t="s">
        <v>45</v>
      </c>
      <c r="L851" t="s">
        <v>204</v>
      </c>
      <c r="M851" t="s">
        <v>3893</v>
      </c>
      <c r="N851" t="s">
        <v>67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34</v>
      </c>
      <c r="V851" t="s">
        <v>35</v>
      </c>
      <c r="W851">
        <f>IF(ISBLANK(Q851), 0, IFERROR(VALUE(Q851), 0.7))</f>
        <v>0.2</v>
      </c>
      <c r="X851">
        <f>D851 - C851</f>
        <v>272</v>
      </c>
      <c r="Y851">
        <f>O851 * P851 * (1 - W851)</f>
        <v>1631.1120000000001</v>
      </c>
      <c r="Z851">
        <f>Y851 - S851</f>
        <v>732.38200000000006</v>
      </c>
      <c r="AA851">
        <f>IFERROR(Z851 / Y851, 0)</f>
        <v>0.44900779345624336</v>
      </c>
      <c r="AB851" t="str">
        <f>TEXT(C851, "mmmm")</f>
        <v>March</v>
      </c>
      <c r="AC851">
        <f>YEAR(C851)</f>
        <v>2024</v>
      </c>
      <c r="AD851" t="str">
        <f>IF(X851&lt;0, "Invalid: Ship Date Before Order Date", IF(W851&lt;0, "Invalid: Negative Discount", IF(W851&gt;0.5, "Invalid: Exceeds Allowed Discount", "OK")))</f>
        <v>OK</v>
      </c>
    </row>
    <row r="852" spans="1:30">
      <c r="A852" t="s">
        <v>3894</v>
      </c>
      <c r="B852" t="str">
        <f t="shared" si="13"/>
        <v>Unique</v>
      </c>
      <c r="C852" s="3">
        <v>45473</v>
      </c>
      <c r="D852" s="3">
        <v>45476</v>
      </c>
      <c r="E852" t="s">
        <v>3895</v>
      </c>
      <c r="F852" t="s">
        <v>142</v>
      </c>
      <c r="G852" t="s">
        <v>115</v>
      </c>
      <c r="H852" t="s">
        <v>42</v>
      </c>
      <c r="I852" t="s">
        <v>121</v>
      </c>
      <c r="J852" t="s">
        <v>122</v>
      </c>
      <c r="K852" t="s">
        <v>30</v>
      </c>
      <c r="L852" t="s">
        <v>31</v>
      </c>
      <c r="M852" t="s">
        <v>3896</v>
      </c>
      <c r="N852" t="s">
        <v>56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34</v>
      </c>
      <c r="V852" t="s">
        <v>35</v>
      </c>
      <c r="W852">
        <f>IF(ISBLANK(Q852), 0, IFERROR(VALUE(Q852), 0.7))</f>
        <v>0</v>
      </c>
      <c r="X852">
        <f>D852 - C852</f>
        <v>3</v>
      </c>
      <c r="Y852">
        <f>O852 * P852 * (1 - W852)</f>
        <v>7266.0599999999995</v>
      </c>
      <c r="Z852">
        <f>Y852 - S852</f>
        <v>1049.1699999999992</v>
      </c>
      <c r="AA852">
        <f>IFERROR(Z852 / Y852, 0)</f>
        <v>0.14439324750965438</v>
      </c>
      <c r="AB852" t="str">
        <f>TEXT(C852, "mmmm")</f>
        <v>June</v>
      </c>
      <c r="AC852">
        <f>YEAR(C852)</f>
        <v>2024</v>
      </c>
      <c r="AD852" t="str">
        <f>IF(X852&lt;0, "Invalid: Ship Date Before Order Date", IF(W852&lt;0, "Invalid: Negative Discount", IF(W852&gt;0.5, "Invalid: Exceeds Allowed Discount", "OK")))</f>
        <v>OK</v>
      </c>
    </row>
    <row r="853" spans="1:30">
      <c r="A853" t="s">
        <v>3897</v>
      </c>
      <c r="B853" t="str">
        <f t="shared" si="13"/>
        <v>Unique</v>
      </c>
      <c r="C853" s="3">
        <v>45377</v>
      </c>
      <c r="D853" s="3">
        <v>45383</v>
      </c>
      <c r="E853" t="s">
        <v>3898</v>
      </c>
      <c r="F853" t="s">
        <v>25</v>
      </c>
      <c r="G853" t="s">
        <v>41</v>
      </c>
      <c r="H853" t="s">
        <v>73</v>
      </c>
      <c r="I853" t="s">
        <v>235</v>
      </c>
      <c r="J853" t="s">
        <v>236</v>
      </c>
      <c r="K853" t="s">
        <v>86</v>
      </c>
      <c r="L853" t="s">
        <v>87</v>
      </c>
      <c r="M853" t="s">
        <v>3899</v>
      </c>
      <c r="N853" t="s">
        <v>56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34</v>
      </c>
      <c r="V853" t="s">
        <v>35</v>
      </c>
      <c r="W853">
        <f>IF(ISBLANK(Q853), 0, IFERROR(VALUE(Q853), 0.7))</f>
        <v>0.2</v>
      </c>
      <c r="X853">
        <f>D853 - C853</f>
        <v>6</v>
      </c>
      <c r="Y853">
        <f>O853 * P853 * (1 - W853)</f>
        <v>1858.08</v>
      </c>
      <c r="Z853">
        <f>Y853 - S853</f>
        <v>267.32999999999993</v>
      </c>
      <c r="AA853">
        <f>IFERROR(Z853 / Y853, 0)</f>
        <v>0.14387432188065097</v>
      </c>
      <c r="AB853" t="str">
        <f>TEXT(C853, "mmmm")</f>
        <v>March</v>
      </c>
      <c r="AC853">
        <f>YEAR(C853)</f>
        <v>2024</v>
      </c>
      <c r="AD853" t="str">
        <f>IF(X853&lt;0, "Invalid: Ship Date Before Order Date", IF(W853&lt;0, "Invalid: Negative Discount", IF(W853&gt;0.5, "Invalid: Exceeds Allowed Discount", "OK")))</f>
        <v>OK</v>
      </c>
    </row>
    <row r="854" spans="1:30">
      <c r="A854" t="s">
        <v>3900</v>
      </c>
      <c r="B854" t="str">
        <f t="shared" si="13"/>
        <v>Unique</v>
      </c>
      <c r="C854" s="3">
        <v>45295</v>
      </c>
      <c r="D854" s="3">
        <v>45508</v>
      </c>
      <c r="E854" t="s">
        <v>3902</v>
      </c>
      <c r="F854" t="s">
        <v>72</v>
      </c>
      <c r="G854" t="s">
        <v>26</v>
      </c>
      <c r="H854" t="s">
        <v>42</v>
      </c>
      <c r="I854" t="s">
        <v>216</v>
      </c>
      <c r="J854" t="s">
        <v>217</v>
      </c>
      <c r="K854" t="s">
        <v>45</v>
      </c>
      <c r="L854" t="s">
        <v>46</v>
      </c>
      <c r="M854" t="s">
        <v>3903</v>
      </c>
      <c r="N854" t="s">
        <v>33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137</v>
      </c>
      <c r="V854" t="s">
        <v>78</v>
      </c>
      <c r="W854">
        <f>IF(ISBLANK(Q854), 0, IFERROR(VALUE(Q854), 0.7))</f>
        <v>0.15</v>
      </c>
      <c r="X854">
        <f>D854 - C854</f>
        <v>213</v>
      </c>
      <c r="Y854">
        <f>O854 * P854 * (1 - W854)</f>
        <v>25021.832500000004</v>
      </c>
      <c r="Z854">
        <f>Y854 - S854</f>
        <v>9477.3925000000036</v>
      </c>
      <c r="AA854">
        <f>IFERROR(Z854 / Y854, 0)</f>
        <v>0.37876492459135447</v>
      </c>
      <c r="AB854" t="str">
        <f>TEXT(C854, "mmmm")</f>
        <v>January</v>
      </c>
      <c r="AC854">
        <f>YEAR(C854)</f>
        <v>2024</v>
      </c>
      <c r="AD854" t="str">
        <f>IF(X854&lt;0, "Invalid: Ship Date Before Order Date", IF(W854&lt;0, "Invalid: Negative Discount", IF(W854&gt;0.5, "Invalid: Exceeds Allowed Discount", "OK")))</f>
        <v>OK</v>
      </c>
    </row>
    <row r="855" spans="1:30">
      <c r="A855" t="s">
        <v>3904</v>
      </c>
      <c r="B855" t="str">
        <f t="shared" si="13"/>
        <v>Unique</v>
      </c>
      <c r="C855" s="3">
        <v>45793</v>
      </c>
      <c r="D855" s="3">
        <v>45799</v>
      </c>
      <c r="E855" t="s">
        <v>3906</v>
      </c>
      <c r="F855" t="s">
        <v>61</v>
      </c>
      <c r="G855" t="s">
        <v>108</v>
      </c>
      <c r="H855" t="s">
        <v>62</v>
      </c>
      <c r="I855" t="s">
        <v>339</v>
      </c>
      <c r="J855" t="s">
        <v>340</v>
      </c>
      <c r="K855" t="s">
        <v>86</v>
      </c>
      <c r="L855" t="s">
        <v>87</v>
      </c>
      <c r="M855" t="s">
        <v>3907</v>
      </c>
      <c r="N855" t="s">
        <v>48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34</v>
      </c>
      <c r="V855" t="s">
        <v>35</v>
      </c>
      <c r="W855">
        <f>IF(ISBLANK(Q855), 0, IFERROR(VALUE(Q855), 0.7))</f>
        <v>0.2</v>
      </c>
      <c r="X855">
        <f>D855 - C855</f>
        <v>6</v>
      </c>
      <c r="Y855">
        <f>O855 * P855 * (1 - W855)</f>
        <v>3710.72</v>
      </c>
      <c r="Z855">
        <f>Y855 - S855</f>
        <v>595.42999999999984</v>
      </c>
      <c r="AA855">
        <f>IFERROR(Z855 / Y855, 0)</f>
        <v>0.16046212055881334</v>
      </c>
      <c r="AB855" t="str">
        <f>TEXT(C855, "mmmm")</f>
        <v>May</v>
      </c>
      <c r="AC855">
        <f>YEAR(C855)</f>
        <v>2025</v>
      </c>
      <c r="AD855" t="str">
        <f>IF(X855&lt;0, "Invalid: Ship Date Before Order Date", IF(W855&lt;0, "Invalid: Negative Discount", IF(W855&gt;0.5, "Invalid: Exceeds Allowed Discount", "OK")))</f>
        <v>OK</v>
      </c>
    </row>
    <row r="856" spans="1:30">
      <c r="A856" t="s">
        <v>3908</v>
      </c>
      <c r="B856" t="str">
        <f t="shared" si="13"/>
        <v>Unique</v>
      </c>
      <c r="C856" s="3">
        <v>45741</v>
      </c>
      <c r="D856" s="3">
        <v>45749</v>
      </c>
      <c r="E856" t="s">
        <v>3911</v>
      </c>
      <c r="F856" t="s">
        <v>142</v>
      </c>
      <c r="G856" t="s">
        <v>26</v>
      </c>
      <c r="H856" t="s">
        <v>62</v>
      </c>
      <c r="I856" t="s">
        <v>229</v>
      </c>
      <c r="J856" t="s">
        <v>230</v>
      </c>
      <c r="K856" t="s">
        <v>45</v>
      </c>
      <c r="L856" t="s">
        <v>204</v>
      </c>
      <c r="M856" t="s">
        <v>3912</v>
      </c>
      <c r="N856" t="s">
        <v>33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34</v>
      </c>
      <c r="V856" t="s">
        <v>35</v>
      </c>
      <c r="W856">
        <f>IF(ISBLANK(Q856), 0, IFERROR(VALUE(Q856), 0.7))</f>
        <v>0.05</v>
      </c>
      <c r="X856">
        <f>D856 - C856</f>
        <v>8</v>
      </c>
      <c r="Y856">
        <f>O856 * P856 * (1 - W856)</f>
        <v>8487.8319999999985</v>
      </c>
      <c r="Z856">
        <f>Y856 - S856</f>
        <v>3242.1119999999983</v>
      </c>
      <c r="AA856">
        <f>IFERROR(Z856 / Y856, 0)</f>
        <v>0.38197174496384928</v>
      </c>
      <c r="AB856" t="str">
        <f>TEXT(C856, "mmmm")</f>
        <v>March</v>
      </c>
      <c r="AC856">
        <f>YEAR(C856)</f>
        <v>2025</v>
      </c>
      <c r="AD856" t="str">
        <f>IF(X856&lt;0, "Invalid: Ship Date Before Order Date", IF(W856&lt;0, "Invalid: Negative Discount", IF(W856&gt;0.5, "Invalid: Exceeds Allowed Discount", "OK")))</f>
        <v>OK</v>
      </c>
    </row>
    <row r="857" spans="1:30">
      <c r="A857" t="s">
        <v>3913</v>
      </c>
      <c r="B857" t="str">
        <f t="shared" si="13"/>
        <v>Unique</v>
      </c>
      <c r="C857" s="3">
        <v>45498</v>
      </c>
      <c r="D857" s="3">
        <v>45506</v>
      </c>
      <c r="E857" t="s">
        <v>1716</v>
      </c>
      <c r="F857" t="s">
        <v>148</v>
      </c>
      <c r="G857" t="s">
        <v>26</v>
      </c>
      <c r="H857" t="s">
        <v>27</v>
      </c>
      <c r="I857" t="s">
        <v>28</v>
      </c>
      <c r="J857" t="s">
        <v>29</v>
      </c>
      <c r="K857" t="s">
        <v>30</v>
      </c>
      <c r="L857" t="s">
        <v>109</v>
      </c>
      <c r="M857" t="s">
        <v>3916</v>
      </c>
      <c r="N857" t="s">
        <v>33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34</v>
      </c>
      <c r="V857" t="s">
        <v>35</v>
      </c>
      <c r="W857">
        <f>IF(ISBLANK(Q857), 0, IFERROR(VALUE(Q857), 0.7))</f>
        <v>0.25</v>
      </c>
      <c r="X857">
        <f>D857 - C857</f>
        <v>8</v>
      </c>
      <c r="Y857">
        <f>O857 * P857 * (1 - W857)</f>
        <v>3110.2950000000001</v>
      </c>
      <c r="Z857">
        <f>Y857 - S857</f>
        <v>1009.2649999999999</v>
      </c>
      <c r="AA857">
        <f>IFERROR(Z857 / Y857, 0)</f>
        <v>0.32449172827657824</v>
      </c>
      <c r="AB857" t="str">
        <f>TEXT(C857, "mmmm")</f>
        <v>July</v>
      </c>
      <c r="AC857">
        <f>YEAR(C857)</f>
        <v>2024</v>
      </c>
      <c r="AD857" t="str">
        <f>IF(X857&lt;0, "Invalid: Ship Date Before Order Date", IF(W857&lt;0, "Invalid: Negative Discount", IF(W857&gt;0.5, "Invalid: Exceeds Allowed Discount", "OK")))</f>
        <v>OK</v>
      </c>
    </row>
    <row r="858" spans="1:30">
      <c r="A858" t="s">
        <v>3917</v>
      </c>
      <c r="B858" t="str">
        <f t="shared" si="13"/>
        <v>Unique</v>
      </c>
      <c r="C858" s="3">
        <v>45455</v>
      </c>
      <c r="D858" s="3">
        <v>45462</v>
      </c>
      <c r="E858" t="s">
        <v>1979</v>
      </c>
      <c r="F858" t="s">
        <v>180</v>
      </c>
      <c r="G858" t="s">
        <v>115</v>
      </c>
      <c r="H858" t="s">
        <v>62</v>
      </c>
      <c r="I858" t="s">
        <v>339</v>
      </c>
      <c r="J858" t="s">
        <v>340</v>
      </c>
      <c r="K858" t="s">
        <v>30</v>
      </c>
      <c r="L858" t="s">
        <v>156</v>
      </c>
      <c r="M858" t="s">
        <v>3919</v>
      </c>
      <c r="N858" t="s">
        <v>67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200</v>
      </c>
      <c r="V858" t="s">
        <v>78</v>
      </c>
      <c r="W858">
        <f>IF(ISBLANK(Q858), 0, IFERROR(VALUE(Q858), 0.7))</f>
        <v>-0.16</v>
      </c>
      <c r="X858">
        <f>D858 - C858</f>
        <v>7</v>
      </c>
      <c r="Y858">
        <f>O858 * P858 * (1 - W858)</f>
        <v>1833.2639999999999</v>
      </c>
      <c r="Z858">
        <f>Y858 - S858</f>
        <v>866.71399999999994</v>
      </c>
      <c r="AA858">
        <f>IFERROR(Z858 / Y858, 0)</f>
        <v>0.47277097024760206</v>
      </c>
      <c r="AB858" t="str">
        <f>TEXT(C858, "mmmm")</f>
        <v>June</v>
      </c>
      <c r="AC858">
        <f>YEAR(C858)</f>
        <v>2024</v>
      </c>
      <c r="AD858" t="str">
        <f>IF(X858&lt;0, "Invalid: Ship Date Before Order Date", IF(W858&lt;0, "Invalid: Negative Discount", IF(W858&gt;0.5, "Invalid: Exceeds Allowed Discount", "OK")))</f>
        <v>Invalid: Negative Discount</v>
      </c>
    </row>
    <row r="859" spans="1:30">
      <c r="A859" t="s">
        <v>3920</v>
      </c>
      <c r="B859" t="str">
        <f t="shared" si="13"/>
        <v>Unique</v>
      </c>
      <c r="C859" s="3">
        <v>45447</v>
      </c>
      <c r="D859" s="3">
        <v>45388</v>
      </c>
      <c r="E859" t="s">
        <v>3235</v>
      </c>
      <c r="F859" t="s">
        <v>168</v>
      </c>
      <c r="G859" t="s">
        <v>115</v>
      </c>
      <c r="H859" t="s">
        <v>62</v>
      </c>
      <c r="I859" t="s">
        <v>242</v>
      </c>
      <c r="J859" t="s">
        <v>243</v>
      </c>
      <c r="K859" t="s">
        <v>30</v>
      </c>
      <c r="L859" t="s">
        <v>156</v>
      </c>
      <c r="M859" t="s">
        <v>3923</v>
      </c>
      <c r="N859" t="s">
        <v>56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34</v>
      </c>
      <c r="V859" t="s">
        <v>35</v>
      </c>
      <c r="W859">
        <f>IF(ISBLANK(Q859), 0, IFERROR(VALUE(Q859), 0.7))</f>
        <v>0.25</v>
      </c>
      <c r="X859">
        <f>D859 - C859</f>
        <v>-59</v>
      </c>
      <c r="Y859">
        <f>O859 * P859 * (1 - W859)</f>
        <v>12190.365</v>
      </c>
      <c r="Z859">
        <f>Y859 - S859</f>
        <v>2013.375</v>
      </c>
      <c r="AA859">
        <f>IFERROR(Z859 / Y859, 0)</f>
        <v>0.16516117441930575</v>
      </c>
      <c r="AB859" t="str">
        <f>TEXT(C859, "mmmm")</f>
        <v>June</v>
      </c>
      <c r="AC859">
        <f>YEAR(C859)</f>
        <v>2024</v>
      </c>
      <c r="AD859" t="str">
        <f>IF(X859&lt;0, "Invalid: Ship Date Before Order Date", IF(W859&lt;0, "Invalid: Negative Discount", IF(W859&gt;0.5, "Invalid: Exceeds Allowed Discount", "OK")))</f>
        <v>Invalid: Ship Date Before Order Date</v>
      </c>
    </row>
    <row r="860" spans="1:30">
      <c r="A860" t="s">
        <v>3924</v>
      </c>
      <c r="B860" t="str">
        <f t="shared" si="13"/>
        <v>Unique</v>
      </c>
      <c r="C860" s="3">
        <v>45414</v>
      </c>
      <c r="D860" s="3">
        <v>45421</v>
      </c>
      <c r="E860" t="s">
        <v>3925</v>
      </c>
      <c r="F860" t="s">
        <v>61</v>
      </c>
      <c r="G860" t="s">
        <v>26</v>
      </c>
      <c r="H860" t="s">
        <v>42</v>
      </c>
      <c r="I860" t="s">
        <v>43</v>
      </c>
      <c r="J860" t="s">
        <v>44</v>
      </c>
      <c r="K860" t="s">
        <v>86</v>
      </c>
      <c r="L860" t="s">
        <v>87</v>
      </c>
      <c r="M860" t="s">
        <v>3926</v>
      </c>
      <c r="N860" t="s">
        <v>33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34</v>
      </c>
      <c r="V860" t="s">
        <v>35</v>
      </c>
      <c r="W860">
        <f>IF(ISBLANK(Q860), 0, IFERROR(VALUE(Q860), 0.7))</f>
        <v>0</v>
      </c>
      <c r="X860">
        <f>D860 - C860</f>
        <v>7</v>
      </c>
      <c r="Y860">
        <f>O860 * P860 * (1 - W860)</f>
        <v>11619.44</v>
      </c>
      <c r="Z860">
        <f>Y860 - S860</f>
        <v>4435.1200000000008</v>
      </c>
      <c r="AA860">
        <f>IFERROR(Z860 / Y860, 0)</f>
        <v>0.3816982574031107</v>
      </c>
      <c r="AB860" t="str">
        <f>TEXT(C860, "mmmm")</f>
        <v>May</v>
      </c>
      <c r="AC860">
        <f>YEAR(C860)</f>
        <v>2024</v>
      </c>
      <c r="AD860" t="str">
        <f>IF(X860&lt;0, "Invalid: Ship Date Before Order Date", IF(W860&lt;0, "Invalid: Negative Discount", IF(W860&gt;0.5, "Invalid: Exceeds Allowed Discount", "OK")))</f>
        <v>OK</v>
      </c>
    </row>
    <row r="861" spans="1:30">
      <c r="A861" t="s">
        <v>3927</v>
      </c>
      <c r="B861" t="str">
        <f t="shared" si="13"/>
        <v>Unique</v>
      </c>
      <c r="C861" s="3">
        <v>45592</v>
      </c>
      <c r="D861" s="3">
        <v>45597</v>
      </c>
      <c r="E861" t="s">
        <v>3929</v>
      </c>
      <c r="F861" t="s">
        <v>107</v>
      </c>
      <c r="G861" t="s">
        <v>108</v>
      </c>
      <c r="H861" t="s">
        <v>62</v>
      </c>
      <c r="I861" t="s">
        <v>339</v>
      </c>
      <c r="J861" t="s">
        <v>340</v>
      </c>
      <c r="K861" t="s">
        <v>86</v>
      </c>
      <c r="L861" t="s">
        <v>223</v>
      </c>
      <c r="M861" t="s">
        <v>3930</v>
      </c>
      <c r="N861" t="s">
        <v>67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34</v>
      </c>
      <c r="V861" t="s">
        <v>35</v>
      </c>
      <c r="W861">
        <f>IF(ISBLANK(Q861), 0, IFERROR(VALUE(Q861), 0.7))</f>
        <v>0.05</v>
      </c>
      <c r="X861">
        <f>D861 - C861</f>
        <v>5</v>
      </c>
      <c r="Y861">
        <f>O861 * P861 * (1 - W861)</f>
        <v>25075.439999999995</v>
      </c>
      <c r="Z861">
        <f>Y861 - S861</f>
        <v>8792.6999999999953</v>
      </c>
      <c r="AA861">
        <f>IFERROR(Z861 / Y861, 0)</f>
        <v>0.35064987892535471</v>
      </c>
      <c r="AB861" t="str">
        <f>TEXT(C861, "mmmm")</f>
        <v>October</v>
      </c>
      <c r="AC861">
        <f>YEAR(C861)</f>
        <v>2024</v>
      </c>
      <c r="AD861" t="str">
        <f>IF(X861&lt;0, "Invalid: Ship Date Before Order Date", IF(W861&lt;0, "Invalid: Negative Discount", IF(W861&gt;0.5, "Invalid: Exceeds Allowed Discount", "OK")))</f>
        <v>OK</v>
      </c>
    </row>
    <row r="862" spans="1:30">
      <c r="A862" t="s">
        <v>3931</v>
      </c>
      <c r="B862" t="str">
        <f t="shared" si="13"/>
        <v>Unique</v>
      </c>
      <c r="C862" s="3">
        <v>45324</v>
      </c>
      <c r="D862" s="3">
        <v>45326</v>
      </c>
      <c r="E862" t="s">
        <v>3933</v>
      </c>
      <c r="F862" t="s">
        <v>83</v>
      </c>
      <c r="G862" t="s">
        <v>115</v>
      </c>
      <c r="H862" t="s">
        <v>27</v>
      </c>
      <c r="I862" t="s">
        <v>174</v>
      </c>
      <c r="J862" t="s">
        <v>175</v>
      </c>
      <c r="K862" t="s">
        <v>30</v>
      </c>
      <c r="L862" t="s">
        <v>156</v>
      </c>
      <c r="M862" t="s">
        <v>3934</v>
      </c>
      <c r="N862" t="s">
        <v>33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34</v>
      </c>
      <c r="V862" t="s">
        <v>35</v>
      </c>
      <c r="W862">
        <f>IF(ISBLANK(Q862), 0, IFERROR(VALUE(Q862), 0.7))</f>
        <v>0.05</v>
      </c>
      <c r="X862">
        <f>D862 - C862</f>
        <v>2</v>
      </c>
      <c r="Y862">
        <f>O862 * P862 * (1 - W862)</f>
        <v>4177.4539999999997</v>
      </c>
      <c r="Z862">
        <f>Y862 - S862</f>
        <v>1877.9539999999997</v>
      </c>
      <c r="AA862">
        <f>IFERROR(Z862 / Y862, 0)</f>
        <v>0.44954510570313877</v>
      </c>
      <c r="AB862" t="str">
        <f>TEXT(C862, "mmmm")</f>
        <v>February</v>
      </c>
      <c r="AC862">
        <f>YEAR(C862)</f>
        <v>2024</v>
      </c>
      <c r="AD862" t="str">
        <f>IF(X862&lt;0, "Invalid: Ship Date Before Order Date", IF(W862&lt;0, "Invalid: Negative Discount", IF(W862&gt;0.5, "Invalid: Exceeds Allowed Discount", "OK")))</f>
        <v>OK</v>
      </c>
    </row>
    <row r="863" spans="1:30">
      <c r="A863" t="s">
        <v>3935</v>
      </c>
      <c r="B863" t="str">
        <f t="shared" si="13"/>
        <v>Unique</v>
      </c>
      <c r="C863" s="3">
        <v>45724</v>
      </c>
      <c r="D863" s="3">
        <v>45725</v>
      </c>
      <c r="E863" t="s">
        <v>3938</v>
      </c>
      <c r="F863" t="s">
        <v>142</v>
      </c>
      <c r="G863" t="s">
        <v>115</v>
      </c>
      <c r="H863" t="s">
        <v>27</v>
      </c>
      <c r="I863" t="s">
        <v>506</v>
      </c>
      <c r="J863" t="s">
        <v>507</v>
      </c>
      <c r="K863" t="s">
        <v>45</v>
      </c>
      <c r="L863" t="s">
        <v>65</v>
      </c>
      <c r="M863" t="s">
        <v>3939</v>
      </c>
      <c r="N863" t="s">
        <v>48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34</v>
      </c>
      <c r="V863" t="s">
        <v>35</v>
      </c>
      <c r="W863">
        <f>IF(ISBLANK(Q863), 0, IFERROR(VALUE(Q863), 0.7))</f>
        <v>0.2</v>
      </c>
      <c r="X863">
        <f>D863 - C863</f>
        <v>1</v>
      </c>
      <c r="Y863">
        <f>O863 * P863 * (1 - W863)</f>
        <v>10898.175999999999</v>
      </c>
      <c r="Z863">
        <f>Y863 - S863</f>
        <v>4666.7659999999996</v>
      </c>
      <c r="AA863">
        <f>IFERROR(Z863 / Y863, 0)</f>
        <v>0.42821532704188298</v>
      </c>
      <c r="AB863" t="str">
        <f>TEXT(C863, "mmmm")</f>
        <v>March</v>
      </c>
      <c r="AC863">
        <f>YEAR(C863)</f>
        <v>2025</v>
      </c>
      <c r="AD863" t="str">
        <f>IF(X863&lt;0, "Invalid: Ship Date Before Order Date", IF(W863&lt;0, "Invalid: Negative Discount", IF(W863&gt;0.5, "Invalid: Exceeds Allowed Discount", "OK")))</f>
        <v>OK</v>
      </c>
    </row>
    <row r="864" spans="1:30">
      <c r="A864" t="s">
        <v>3940</v>
      </c>
      <c r="B864" t="str">
        <f t="shared" si="13"/>
        <v>Unique</v>
      </c>
      <c r="C864" s="3">
        <v>45742</v>
      </c>
      <c r="D864" s="3">
        <v>45747</v>
      </c>
      <c r="E864" t="s">
        <v>3942</v>
      </c>
      <c r="F864" t="s">
        <v>142</v>
      </c>
      <c r="G864" t="s">
        <v>41</v>
      </c>
      <c r="H864" t="s">
        <v>42</v>
      </c>
      <c r="I864" t="s">
        <v>311</v>
      </c>
      <c r="J864" t="s">
        <v>312</v>
      </c>
      <c r="K864" t="s">
        <v>30</v>
      </c>
      <c r="L864" t="s">
        <v>198</v>
      </c>
      <c r="M864" t="s">
        <v>3943</v>
      </c>
      <c r="N864" t="s">
        <v>56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34</v>
      </c>
      <c r="V864" t="s">
        <v>78</v>
      </c>
      <c r="W864">
        <f>IF(ISBLANK(Q864), 0, IFERROR(VALUE(Q864), 0.7))</f>
        <v>0</v>
      </c>
      <c r="X864">
        <f>D864 - C864</f>
        <v>5</v>
      </c>
      <c r="Y864">
        <f>O864 * P864 * (1 - W864)</f>
        <v>6975.7000000000007</v>
      </c>
      <c r="Z864">
        <f>Y864 - S864</f>
        <v>2177.8200000000006</v>
      </c>
      <c r="AA864">
        <f>IFERROR(Z864 / Y864, 0)</f>
        <v>0.3122009260719355</v>
      </c>
      <c r="AB864" t="str">
        <f>TEXT(C864, "mmmm")</f>
        <v>March</v>
      </c>
      <c r="AC864">
        <f>YEAR(C864)</f>
        <v>2025</v>
      </c>
      <c r="AD864" t="str">
        <f>IF(X864&lt;0, "Invalid: Ship Date Before Order Date", IF(W864&lt;0, "Invalid: Negative Discount", IF(W864&gt;0.5, "Invalid: Exceeds Allowed Discount", "OK")))</f>
        <v>OK</v>
      </c>
    </row>
    <row r="865" spans="1:30">
      <c r="A865" t="s">
        <v>3944</v>
      </c>
      <c r="B865" t="str">
        <f t="shared" si="13"/>
        <v>Unique</v>
      </c>
      <c r="C865" s="3">
        <v>45906</v>
      </c>
      <c r="D865" s="3">
        <v>45908</v>
      </c>
      <c r="E865" t="s">
        <v>3946</v>
      </c>
      <c r="F865" t="s">
        <v>162</v>
      </c>
      <c r="G865" t="s">
        <v>115</v>
      </c>
      <c r="H865" t="s">
        <v>73</v>
      </c>
      <c r="I865" t="s">
        <v>84</v>
      </c>
      <c r="J865" t="s">
        <v>85</v>
      </c>
      <c r="K865" t="s">
        <v>45</v>
      </c>
      <c r="L865" t="s">
        <v>65</v>
      </c>
      <c r="M865" t="s">
        <v>3947</v>
      </c>
      <c r="N865" t="s">
        <v>48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34</v>
      </c>
      <c r="V865" t="s">
        <v>35</v>
      </c>
      <c r="W865">
        <f>IF(ISBLANK(Q865), 0, IFERROR(VALUE(Q865), 0.7))</f>
        <v>0</v>
      </c>
      <c r="X865">
        <f>D865 - C865</f>
        <v>2</v>
      </c>
      <c r="Y865">
        <f>O865 * P865 * (1 - W865)</f>
        <v>8811.69</v>
      </c>
      <c r="Z865">
        <f>Y865 - S865</f>
        <v>2045.7800000000007</v>
      </c>
      <c r="AA865">
        <f>IFERROR(Z865 / Y865, 0)</f>
        <v>0.23216658779416893</v>
      </c>
      <c r="AB865" t="str">
        <f>TEXT(C865, "mmmm")</f>
        <v>September</v>
      </c>
      <c r="AC865">
        <f>YEAR(C865)</f>
        <v>2025</v>
      </c>
      <c r="AD865" t="str">
        <f>IF(X865&lt;0, "Invalid: Ship Date Before Order Date", IF(W865&lt;0, "Invalid: Negative Discount", IF(W865&gt;0.5, "Invalid: Exceeds Allowed Discount", "OK")))</f>
        <v>OK</v>
      </c>
    </row>
    <row r="866" spans="1:30">
      <c r="A866" t="s">
        <v>3948</v>
      </c>
      <c r="B866" t="str">
        <f t="shared" si="13"/>
        <v>Unique</v>
      </c>
      <c r="C866" s="3">
        <v>45902</v>
      </c>
      <c r="D866" s="3">
        <v>45786</v>
      </c>
      <c r="E866" t="s">
        <v>3950</v>
      </c>
      <c r="F866" t="s">
        <v>83</v>
      </c>
      <c r="G866" t="s">
        <v>26</v>
      </c>
      <c r="H866" t="s">
        <v>62</v>
      </c>
      <c r="I866" t="s">
        <v>339</v>
      </c>
      <c r="J866" t="s">
        <v>340</v>
      </c>
      <c r="K866" t="s">
        <v>86</v>
      </c>
      <c r="L866" t="s">
        <v>223</v>
      </c>
      <c r="M866" t="s">
        <v>3951</v>
      </c>
      <c r="N866" t="s">
        <v>56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34</v>
      </c>
      <c r="V866" t="s">
        <v>35</v>
      </c>
      <c r="W866">
        <f>IF(ISBLANK(Q866), 0, IFERROR(VALUE(Q866), 0.7))</f>
        <v>0</v>
      </c>
      <c r="X866">
        <f>D866 - C866</f>
        <v>-116</v>
      </c>
      <c r="Y866">
        <f>O866 * P866 * (1 - W866)</f>
        <v>17034.349999999999</v>
      </c>
      <c r="Z866">
        <f>Y866 - S866</f>
        <v>2402.989999999998</v>
      </c>
      <c r="AA866">
        <f>IFERROR(Z866 / Y866, 0)</f>
        <v>0.14106731398615141</v>
      </c>
      <c r="AB866" t="str">
        <f>TEXT(C866, "mmmm")</f>
        <v>September</v>
      </c>
      <c r="AC866">
        <f>YEAR(C866)</f>
        <v>2025</v>
      </c>
      <c r="AD866" t="str">
        <f>IF(X866&lt;0, "Invalid: Ship Date Before Order Date", IF(W866&lt;0, "Invalid: Negative Discount", IF(W866&gt;0.5, "Invalid: Exceeds Allowed Discount", "OK")))</f>
        <v>Invalid: Ship Date Before Order Date</v>
      </c>
    </row>
    <row r="867" spans="1:30">
      <c r="A867" t="s">
        <v>3952</v>
      </c>
      <c r="B867" t="str">
        <f t="shared" si="13"/>
        <v>Unique</v>
      </c>
      <c r="C867" s="3">
        <v>45810</v>
      </c>
      <c r="D867" s="3">
        <v>45702</v>
      </c>
      <c r="E867" t="s">
        <v>3953</v>
      </c>
      <c r="F867" t="s">
        <v>366</v>
      </c>
      <c r="G867" t="s">
        <v>26</v>
      </c>
      <c r="H867" t="s">
        <v>73</v>
      </c>
      <c r="I867" t="s">
        <v>74</v>
      </c>
      <c r="J867" t="s">
        <v>75</v>
      </c>
      <c r="K867" t="s">
        <v>30</v>
      </c>
      <c r="L867" t="s">
        <v>109</v>
      </c>
      <c r="M867" t="s">
        <v>3954</v>
      </c>
      <c r="N867" t="s">
        <v>33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34</v>
      </c>
      <c r="V867" t="s">
        <v>35</v>
      </c>
      <c r="W867">
        <f>IF(ISBLANK(Q867), 0, IFERROR(VALUE(Q867), 0.7))</f>
        <v>0</v>
      </c>
      <c r="X867">
        <f>D867 - C867</f>
        <v>-108</v>
      </c>
      <c r="Y867">
        <f>O867 * P867 * (1 - W867)</f>
        <v>7984.08</v>
      </c>
      <c r="Z867">
        <f>Y867 - S867</f>
        <v>2326.0299999999997</v>
      </c>
      <c r="AA867">
        <f>IFERROR(Z867 / Y867, 0)</f>
        <v>0.29133350367230787</v>
      </c>
      <c r="AB867" t="str">
        <f>TEXT(C867, "mmmm")</f>
        <v>June</v>
      </c>
      <c r="AC867">
        <f>YEAR(C867)</f>
        <v>2025</v>
      </c>
      <c r="AD867" t="str">
        <f>IF(X867&lt;0, "Invalid: Ship Date Before Order Date", IF(W867&lt;0, "Invalid: Negative Discount", IF(W867&gt;0.5, "Invalid: Exceeds Allowed Discount", "OK")))</f>
        <v>Invalid: Ship Date Before Order Date</v>
      </c>
    </row>
    <row r="868" spans="1:30">
      <c r="A868" t="s">
        <v>3955</v>
      </c>
      <c r="B868" t="str">
        <f t="shared" si="13"/>
        <v>Unique</v>
      </c>
      <c r="C868" s="3">
        <v>45714</v>
      </c>
      <c r="D868" s="3">
        <v>45722</v>
      </c>
      <c r="E868" t="s">
        <v>3957</v>
      </c>
      <c r="F868" t="s">
        <v>142</v>
      </c>
      <c r="G868" t="s">
        <v>26</v>
      </c>
      <c r="H868" t="s">
        <v>42</v>
      </c>
      <c r="I868" t="s">
        <v>186</v>
      </c>
      <c r="J868" t="s">
        <v>187</v>
      </c>
      <c r="K868" t="s">
        <v>45</v>
      </c>
      <c r="L868" t="s">
        <v>204</v>
      </c>
      <c r="M868" t="s">
        <v>3958</v>
      </c>
      <c r="N868" t="s">
        <v>56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137</v>
      </c>
      <c r="V868" t="s">
        <v>78</v>
      </c>
      <c r="W868">
        <f>IF(ISBLANK(Q868), 0, IFERROR(VALUE(Q868), 0.7))</f>
        <v>0.2</v>
      </c>
      <c r="X868">
        <f>D868 - C868</f>
        <v>8</v>
      </c>
      <c r="Y868">
        <f>O868 * P868 * (1 - W868)</f>
        <v>21912.263999999999</v>
      </c>
      <c r="Z868">
        <f>Y868 - S868</f>
        <v>5544.4839999999986</v>
      </c>
      <c r="AA868">
        <f>IFERROR(Z868 / Y868, 0)</f>
        <v>0.25303108797885965</v>
      </c>
      <c r="AB868" t="str">
        <f>TEXT(C868, "mmmm")</f>
        <v>February</v>
      </c>
      <c r="AC868">
        <f>YEAR(C868)</f>
        <v>2025</v>
      </c>
      <c r="AD868" t="str">
        <f>IF(X868&lt;0, "Invalid: Ship Date Before Order Date", IF(W868&lt;0, "Invalid: Negative Discount", IF(W868&gt;0.5, "Invalid: Exceeds Allowed Discount", "OK")))</f>
        <v>OK</v>
      </c>
    </row>
    <row r="869" spans="1:30">
      <c r="A869" t="s">
        <v>3959</v>
      </c>
      <c r="B869" t="str">
        <f t="shared" si="13"/>
        <v>Unique</v>
      </c>
      <c r="C869" s="3">
        <v>45617</v>
      </c>
      <c r="D869" s="3">
        <v>45618</v>
      </c>
      <c r="E869" t="s">
        <v>3962</v>
      </c>
      <c r="F869" t="s">
        <v>148</v>
      </c>
      <c r="G869" t="s">
        <v>115</v>
      </c>
      <c r="H869" t="s">
        <v>62</v>
      </c>
      <c r="I869" t="s">
        <v>100</v>
      </c>
      <c r="J869" t="s">
        <v>101</v>
      </c>
      <c r="K869" t="s">
        <v>86</v>
      </c>
      <c r="L869" t="s">
        <v>87</v>
      </c>
      <c r="M869" t="s">
        <v>3963</v>
      </c>
      <c r="N869" t="s">
        <v>48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200</v>
      </c>
      <c r="V869" t="s">
        <v>78</v>
      </c>
      <c r="W869">
        <f>IF(ISBLANK(Q869), 0, IFERROR(VALUE(Q869), 0.7))</f>
        <v>0.25</v>
      </c>
      <c r="X869">
        <f>D869 - C869</f>
        <v>1</v>
      </c>
      <c r="Y869">
        <f>O869 * P869 * (1 - W869)</f>
        <v>4695.7049999999999</v>
      </c>
      <c r="Z869">
        <f>Y869 - S869</f>
        <v>824.01499999999987</v>
      </c>
      <c r="AA869">
        <f>IFERROR(Z869 / Y869, 0)</f>
        <v>0.17548270174553127</v>
      </c>
      <c r="AB869" t="str">
        <f>TEXT(C869, "mmmm")</f>
        <v>November</v>
      </c>
      <c r="AC869">
        <f>YEAR(C869)</f>
        <v>2024</v>
      </c>
      <c r="AD869" t="str">
        <f>IF(X869&lt;0, "Invalid: Ship Date Before Order Date", IF(W869&lt;0, "Invalid: Negative Discount", IF(W869&gt;0.5, "Invalid: Exceeds Allowed Discount", "OK")))</f>
        <v>OK</v>
      </c>
    </row>
    <row r="870" spans="1:30">
      <c r="A870" t="s">
        <v>3964</v>
      </c>
      <c r="B870" t="str">
        <f t="shared" si="13"/>
        <v>Unique</v>
      </c>
      <c r="C870" s="3">
        <v>45965</v>
      </c>
      <c r="D870" s="3">
        <v>45762</v>
      </c>
      <c r="E870" t="s">
        <v>3965</v>
      </c>
      <c r="F870" t="s">
        <v>83</v>
      </c>
      <c r="G870" t="s">
        <v>115</v>
      </c>
      <c r="H870" t="s">
        <v>62</v>
      </c>
      <c r="I870" t="s">
        <v>229</v>
      </c>
      <c r="J870" t="s">
        <v>230</v>
      </c>
      <c r="K870" t="s">
        <v>30</v>
      </c>
      <c r="L870" t="s">
        <v>156</v>
      </c>
      <c r="M870" t="s">
        <v>3966</v>
      </c>
      <c r="N870" t="s">
        <v>48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34</v>
      </c>
      <c r="V870" t="s">
        <v>35</v>
      </c>
      <c r="W870">
        <f>IF(ISBLANK(Q870), 0, IFERROR(VALUE(Q870), 0.7))</f>
        <v>0.05</v>
      </c>
      <c r="X870">
        <f>D870 - C870</f>
        <v>-203</v>
      </c>
      <c r="Y870">
        <f>O870 * P870 * (1 - W870)</f>
        <v>1923.2369999999999</v>
      </c>
      <c r="Z870">
        <f>Y870 - S870</f>
        <v>829.57699999999977</v>
      </c>
      <c r="AA870">
        <f>IFERROR(Z870 / Y870, 0)</f>
        <v>0.43134413491420964</v>
      </c>
      <c r="AB870" t="str">
        <f>TEXT(C870, "mmmm")</f>
        <v>November</v>
      </c>
      <c r="AC870">
        <f>YEAR(C870)</f>
        <v>2025</v>
      </c>
      <c r="AD870" t="str">
        <f>IF(X870&lt;0, "Invalid: Ship Date Before Order Date", IF(W870&lt;0, "Invalid: Negative Discount", IF(W870&gt;0.5, "Invalid: Exceeds Allowed Discount", "OK")))</f>
        <v>Invalid: Ship Date Before Order Date</v>
      </c>
    </row>
    <row r="871" spans="1:30">
      <c r="A871" t="s">
        <v>3967</v>
      </c>
      <c r="B871" t="str">
        <f t="shared" si="13"/>
        <v>Unique</v>
      </c>
      <c r="C871" s="3">
        <v>45722</v>
      </c>
      <c r="D871" s="3">
        <v>45841</v>
      </c>
      <c r="E871" t="s">
        <v>3969</v>
      </c>
      <c r="F871" t="s">
        <v>180</v>
      </c>
      <c r="G871" t="s">
        <v>115</v>
      </c>
      <c r="H871" t="s">
        <v>4110</v>
      </c>
      <c r="I871" t="s">
        <v>506</v>
      </c>
      <c r="J871" t="s">
        <v>507</v>
      </c>
      <c r="K871" t="s">
        <v>45</v>
      </c>
      <c r="L871" t="s">
        <v>76</v>
      </c>
      <c r="M871" t="s">
        <v>1752</v>
      </c>
      <c r="N871" t="s">
        <v>48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34</v>
      </c>
      <c r="V871" t="s">
        <v>35</v>
      </c>
      <c r="W871">
        <f>IF(ISBLANK(Q871), 0, IFERROR(VALUE(Q871), 0.7))</f>
        <v>0.1</v>
      </c>
      <c r="X871">
        <f>D871 - C871</f>
        <v>119</v>
      </c>
      <c r="Y871">
        <f>O871 * P871 * (1 - W871)</f>
        <v>4301.91</v>
      </c>
      <c r="Z871">
        <f>Y871 - S871</f>
        <v>1927.5099999999998</v>
      </c>
      <c r="AA871">
        <f>IFERROR(Z871 / Y871, 0)</f>
        <v>0.44805911792668834</v>
      </c>
      <c r="AB871" t="str">
        <f>TEXT(C871, "mmmm")</f>
        <v>March</v>
      </c>
      <c r="AC871">
        <f>YEAR(C871)</f>
        <v>2025</v>
      </c>
      <c r="AD871" t="str">
        <f>IF(X871&lt;0, "Invalid: Ship Date Before Order Date", IF(W871&lt;0, "Invalid: Negative Discount", IF(W871&gt;0.5, "Invalid: Exceeds Allowed Discount", "OK")))</f>
        <v>OK</v>
      </c>
    </row>
    <row r="872" spans="1:30">
      <c r="A872" t="s">
        <v>3970</v>
      </c>
      <c r="B872" t="str">
        <f t="shared" si="13"/>
        <v>Unique</v>
      </c>
      <c r="C872" s="3">
        <v>45814</v>
      </c>
      <c r="D872" s="3">
        <v>45815</v>
      </c>
      <c r="E872" t="s">
        <v>3973</v>
      </c>
      <c r="F872" t="s">
        <v>83</v>
      </c>
      <c r="G872" t="s">
        <v>108</v>
      </c>
      <c r="H872" t="s">
        <v>73</v>
      </c>
      <c r="I872" t="s">
        <v>249</v>
      </c>
      <c r="J872" t="s">
        <v>250</v>
      </c>
      <c r="K872" t="s">
        <v>45</v>
      </c>
      <c r="L872" t="s">
        <v>46</v>
      </c>
      <c r="M872" t="s">
        <v>3974</v>
      </c>
      <c r="N872" t="s">
        <v>67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34</v>
      </c>
      <c r="V872" t="s">
        <v>78</v>
      </c>
      <c r="W872">
        <f>IF(ISBLANK(Q872), 0, IFERROR(VALUE(Q872), 0.7))</f>
        <v>0.15</v>
      </c>
      <c r="X872">
        <f>D872 - C872</f>
        <v>1</v>
      </c>
      <c r="Y872">
        <f>O872 * P872 * (1 - W872)</f>
        <v>22436.838</v>
      </c>
      <c r="Z872">
        <f>Y872 - S872</f>
        <v>4982.1680000000015</v>
      </c>
      <c r="AA872">
        <f>IFERROR(Z872 / Y872, 0)</f>
        <v>0.22205303617203109</v>
      </c>
      <c r="AB872" t="str">
        <f>TEXT(C872, "mmmm")</f>
        <v>June</v>
      </c>
      <c r="AC872">
        <f>YEAR(C872)</f>
        <v>2025</v>
      </c>
      <c r="AD872" t="str">
        <f>IF(X872&lt;0, "Invalid: Ship Date Before Order Date", IF(W872&lt;0, "Invalid: Negative Discount", IF(W872&gt;0.5, "Invalid: Exceeds Allowed Discount", "OK")))</f>
        <v>OK</v>
      </c>
    </row>
    <row r="873" spans="1:30">
      <c r="A873" t="s">
        <v>3975</v>
      </c>
      <c r="B873" t="str">
        <f t="shared" si="13"/>
        <v>Unique</v>
      </c>
      <c r="C873" s="3">
        <v>45342</v>
      </c>
      <c r="D873" s="3">
        <v>45344</v>
      </c>
      <c r="E873" t="s">
        <v>3795</v>
      </c>
      <c r="F873" t="s">
        <v>93</v>
      </c>
      <c r="G873" t="s">
        <v>41</v>
      </c>
      <c r="H873" t="s">
        <v>62</v>
      </c>
      <c r="I873" t="s">
        <v>63</v>
      </c>
      <c r="J873" t="s">
        <v>64</v>
      </c>
      <c r="K873" t="s">
        <v>86</v>
      </c>
      <c r="L873" t="s">
        <v>87</v>
      </c>
      <c r="M873" t="s">
        <v>3977</v>
      </c>
      <c r="N873" t="s">
        <v>56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124</v>
      </c>
      <c r="V873" t="s">
        <v>78</v>
      </c>
      <c r="W873">
        <f>IF(ISBLANK(Q873), 0, IFERROR(VALUE(Q873), 0.7))</f>
        <v>0</v>
      </c>
      <c r="X873">
        <f>D873 - C873</f>
        <v>2</v>
      </c>
      <c r="Y873">
        <f>O873 * P873 * (1 - W873)</f>
        <v>19676.07</v>
      </c>
      <c r="Z873">
        <f>Y873 - S873</f>
        <v>7217.4499999999989</v>
      </c>
      <c r="AA873">
        <f>IFERROR(Z873 / Y873, 0)</f>
        <v>0.36681359641432454</v>
      </c>
      <c r="AB873" t="str">
        <f>TEXT(C873, "mmmm")</f>
        <v>February</v>
      </c>
      <c r="AC873">
        <f>YEAR(C873)</f>
        <v>2024</v>
      </c>
      <c r="AD873" t="str">
        <f>IF(X873&lt;0, "Invalid: Ship Date Before Order Date", IF(W873&lt;0, "Invalid: Negative Discount", IF(W873&gt;0.5, "Invalid: Exceeds Allowed Discount", "OK")))</f>
        <v>OK</v>
      </c>
    </row>
    <row r="874" spans="1:30">
      <c r="A874" t="s">
        <v>3978</v>
      </c>
      <c r="B874" t="str">
        <f t="shared" si="13"/>
        <v>Unique</v>
      </c>
      <c r="C874" s="3">
        <v>45597</v>
      </c>
      <c r="D874" s="3">
        <v>45598</v>
      </c>
      <c r="E874" t="s">
        <v>2962</v>
      </c>
      <c r="F874" t="s">
        <v>25</v>
      </c>
      <c r="G874" t="s">
        <v>108</v>
      </c>
      <c r="H874" t="s">
        <v>42</v>
      </c>
      <c r="I874" t="s">
        <v>121</v>
      </c>
      <c r="J874" t="s">
        <v>122</v>
      </c>
      <c r="K874" t="s">
        <v>45</v>
      </c>
      <c r="L874" t="s">
        <v>65</v>
      </c>
      <c r="M874" t="s">
        <v>3980</v>
      </c>
      <c r="N874" t="s">
        <v>67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34</v>
      </c>
      <c r="V874" t="s">
        <v>35</v>
      </c>
      <c r="W874">
        <f>IF(ISBLANK(Q874), 0, IFERROR(VALUE(Q874), 0.7))</f>
        <v>0.2</v>
      </c>
      <c r="X874">
        <f>D874 - C874</f>
        <v>1</v>
      </c>
      <c r="Y874">
        <f>O874 * P874 * (1 - W874)</f>
        <v>8848.08</v>
      </c>
      <c r="Z874">
        <f>Y874 - S874</f>
        <v>3156.5199999999995</v>
      </c>
      <c r="AA874">
        <f>IFERROR(Z874 / Y874, 0)</f>
        <v>0.35674632236598219</v>
      </c>
      <c r="AB874" t="str">
        <f>TEXT(C874, "mmmm")</f>
        <v>November</v>
      </c>
      <c r="AC874">
        <f>YEAR(C874)</f>
        <v>2024</v>
      </c>
      <c r="AD874" t="str">
        <f>IF(X874&lt;0, "Invalid: Ship Date Before Order Date", IF(W874&lt;0, "Invalid: Negative Discount", IF(W874&gt;0.5, "Invalid: Exceeds Allowed Discount", "OK")))</f>
        <v>OK</v>
      </c>
    </row>
    <row r="875" spans="1:30">
      <c r="A875" t="s">
        <v>3981</v>
      </c>
      <c r="B875" t="str">
        <f t="shared" si="13"/>
        <v>Unique</v>
      </c>
      <c r="C875" s="3">
        <v>45689</v>
      </c>
      <c r="D875" s="3">
        <v>45871</v>
      </c>
      <c r="E875" t="s">
        <v>3984</v>
      </c>
      <c r="F875" t="s">
        <v>107</v>
      </c>
      <c r="G875" t="s">
        <v>115</v>
      </c>
      <c r="H875" t="s">
        <v>73</v>
      </c>
      <c r="I875" t="s">
        <v>235</v>
      </c>
      <c r="J875" t="s">
        <v>236</v>
      </c>
      <c r="K875" t="s">
        <v>30</v>
      </c>
      <c r="L875" t="s">
        <v>156</v>
      </c>
      <c r="M875" t="s">
        <v>3985</v>
      </c>
      <c r="N875" t="s">
        <v>33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34</v>
      </c>
      <c r="V875" t="s">
        <v>35</v>
      </c>
      <c r="W875">
        <f>IF(ISBLANK(Q875), 0, IFERROR(VALUE(Q875), 0.7))</f>
        <v>0.1</v>
      </c>
      <c r="X875">
        <f>D875 - C875</f>
        <v>182</v>
      </c>
      <c r="Y875">
        <f>O875 * P875 * (1 - W875)</f>
        <v>4487.8319999999994</v>
      </c>
      <c r="Z875">
        <f>Y875 - S875</f>
        <v>1854.0519999999992</v>
      </c>
      <c r="AA875">
        <f>IFERROR(Z875 / Y875, 0)</f>
        <v>0.41312865543986482</v>
      </c>
      <c r="AB875" t="str">
        <f>TEXT(C875, "mmmm")</f>
        <v>February</v>
      </c>
      <c r="AC875">
        <f>YEAR(C875)</f>
        <v>2025</v>
      </c>
      <c r="AD875" t="str">
        <f>IF(X875&lt;0, "Invalid: Ship Date Before Order Date", IF(W875&lt;0, "Invalid: Negative Discount", IF(W875&gt;0.5, "Invalid: Exceeds Allowed Discount", "OK")))</f>
        <v>OK</v>
      </c>
    </row>
    <row r="876" spans="1:30">
      <c r="A876" t="s">
        <v>3986</v>
      </c>
      <c r="B876" t="str">
        <f t="shared" si="13"/>
        <v>Unique</v>
      </c>
      <c r="C876" s="3">
        <v>45853</v>
      </c>
      <c r="D876" s="3">
        <v>45854</v>
      </c>
      <c r="E876" t="s">
        <v>3987</v>
      </c>
      <c r="F876" t="s">
        <v>83</v>
      </c>
      <c r="G876" t="s">
        <v>41</v>
      </c>
      <c r="H876" t="s">
        <v>73</v>
      </c>
      <c r="I876" t="s">
        <v>74</v>
      </c>
      <c r="J876" t="s">
        <v>75</v>
      </c>
      <c r="K876" t="s">
        <v>30</v>
      </c>
      <c r="L876" t="s">
        <v>31</v>
      </c>
      <c r="M876" t="s">
        <v>3988</v>
      </c>
      <c r="N876" t="s">
        <v>67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34</v>
      </c>
      <c r="V876" t="s">
        <v>35</v>
      </c>
      <c r="W876">
        <f>IF(ISBLANK(Q876), 0, IFERROR(VALUE(Q876), 0.7))</f>
        <v>0.05</v>
      </c>
      <c r="X876">
        <f>D876 - C876</f>
        <v>1</v>
      </c>
      <c r="Y876">
        <f>O876 * P876 * (1 - W876)</f>
        <v>29829.088</v>
      </c>
      <c r="Z876">
        <f>Y876 - S876</f>
        <v>9118.9079999999994</v>
      </c>
      <c r="AA876">
        <f>IFERROR(Z876 / Y876, 0)</f>
        <v>0.30570522303598419</v>
      </c>
      <c r="AB876" t="str">
        <f>TEXT(C876, "mmmm")</f>
        <v>July</v>
      </c>
      <c r="AC876">
        <f>YEAR(C876)</f>
        <v>2025</v>
      </c>
      <c r="AD876" t="str">
        <f>IF(X876&lt;0, "Invalid: Ship Date Before Order Date", IF(W876&lt;0, "Invalid: Negative Discount", IF(W876&gt;0.5, "Invalid: Exceeds Allowed Discount", "OK")))</f>
        <v>OK</v>
      </c>
    </row>
    <row r="877" spans="1:30">
      <c r="A877" t="s">
        <v>3989</v>
      </c>
      <c r="B877" t="str">
        <f t="shared" si="13"/>
        <v>Unique</v>
      </c>
      <c r="C877" s="3">
        <v>45514</v>
      </c>
      <c r="D877" s="3">
        <v>45515</v>
      </c>
      <c r="E877" t="s">
        <v>3992</v>
      </c>
      <c r="F877" t="s">
        <v>40</v>
      </c>
      <c r="G877" t="s">
        <v>108</v>
      </c>
      <c r="H877" t="s">
        <v>73</v>
      </c>
      <c r="I877" t="s">
        <v>74</v>
      </c>
      <c r="J877" t="s">
        <v>75</v>
      </c>
      <c r="K877" t="s">
        <v>86</v>
      </c>
      <c r="L877" t="s">
        <v>94</v>
      </c>
      <c r="M877" t="s">
        <v>3993</v>
      </c>
      <c r="N877" t="s">
        <v>56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34</v>
      </c>
      <c r="V877" t="s">
        <v>35</v>
      </c>
      <c r="W877">
        <f>IF(ISBLANK(Q877), 0, IFERROR(VALUE(Q877), 0.7))</f>
        <v>0.2</v>
      </c>
      <c r="X877">
        <f>D877 - C877</f>
        <v>1</v>
      </c>
      <c r="Y877">
        <f>O877 * P877 * (1 - W877)</f>
        <v>21574.672000000002</v>
      </c>
      <c r="Z877">
        <f>Y877 - S877</f>
        <v>6901.8420000000024</v>
      </c>
      <c r="AA877">
        <f>IFERROR(Z877 / Y877, 0)</f>
        <v>0.31990484026825539</v>
      </c>
      <c r="AB877" t="str">
        <f>TEXT(C877, "mmmm")</f>
        <v>August</v>
      </c>
      <c r="AC877">
        <f>YEAR(C877)</f>
        <v>2024</v>
      </c>
      <c r="AD877" t="str">
        <f>IF(X877&lt;0, "Invalid: Ship Date Before Order Date", IF(W877&lt;0, "Invalid: Negative Discount", IF(W877&gt;0.5, "Invalid: Exceeds Allowed Discount", "OK")))</f>
        <v>OK</v>
      </c>
    </row>
    <row r="878" spans="1:30">
      <c r="A878" t="s">
        <v>3994</v>
      </c>
      <c r="B878" t="str">
        <f t="shared" si="13"/>
        <v>Unique</v>
      </c>
      <c r="C878" s="3">
        <v>45614</v>
      </c>
      <c r="D878" s="3">
        <v>45616</v>
      </c>
      <c r="E878" t="s">
        <v>3997</v>
      </c>
      <c r="F878" t="s">
        <v>142</v>
      </c>
      <c r="G878" t="s">
        <v>26</v>
      </c>
      <c r="H878" t="s">
        <v>73</v>
      </c>
      <c r="I878" t="s">
        <v>28</v>
      </c>
      <c r="J878" t="s">
        <v>135</v>
      </c>
      <c r="K878" t="s">
        <v>45</v>
      </c>
      <c r="L878" t="s">
        <v>76</v>
      </c>
      <c r="M878" t="s">
        <v>1291</v>
      </c>
      <c r="N878" t="s">
        <v>56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34</v>
      </c>
      <c r="V878" t="s">
        <v>35</v>
      </c>
      <c r="W878">
        <f>IF(ISBLANK(Q878), 0, IFERROR(VALUE(Q878), 0.7))</f>
        <v>0</v>
      </c>
      <c r="X878">
        <f>D878 - C878</f>
        <v>2</v>
      </c>
      <c r="Y878">
        <f>O878 * P878 * (1 - W878)</f>
        <v>22741.32</v>
      </c>
      <c r="Z878">
        <f>Y878 - S878</f>
        <v>6352.75</v>
      </c>
      <c r="AA878">
        <f>IFERROR(Z878 / Y878, 0)</f>
        <v>0.27934834037777928</v>
      </c>
      <c r="AB878" t="str">
        <f>TEXT(C878, "mmmm")</f>
        <v>November</v>
      </c>
      <c r="AC878">
        <f>YEAR(C878)</f>
        <v>2024</v>
      </c>
      <c r="AD878" t="str">
        <f>IF(X878&lt;0, "Invalid: Ship Date Before Order Date", IF(W878&lt;0, "Invalid: Negative Discount", IF(W878&gt;0.5, "Invalid: Exceeds Allowed Discount", "OK")))</f>
        <v>OK</v>
      </c>
    </row>
    <row r="879" spans="1:30">
      <c r="A879" t="s">
        <v>3998</v>
      </c>
      <c r="B879" t="str">
        <f t="shared" si="13"/>
        <v>Unique</v>
      </c>
      <c r="C879" s="3">
        <v>45895</v>
      </c>
      <c r="D879" s="3">
        <v>45903</v>
      </c>
      <c r="E879" t="s">
        <v>4000</v>
      </c>
      <c r="F879" t="s">
        <v>162</v>
      </c>
      <c r="G879" t="s">
        <v>26</v>
      </c>
      <c r="H879" t="s">
        <v>73</v>
      </c>
      <c r="I879" t="s">
        <v>28</v>
      </c>
      <c r="J879" t="s">
        <v>135</v>
      </c>
      <c r="K879" t="s">
        <v>30</v>
      </c>
      <c r="L879" t="s">
        <v>156</v>
      </c>
      <c r="M879" t="s">
        <v>4001</v>
      </c>
      <c r="N879" t="s">
        <v>33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34</v>
      </c>
      <c r="V879" t="s">
        <v>35</v>
      </c>
      <c r="W879">
        <f>IF(ISBLANK(Q879), 0, IFERROR(VALUE(Q879), 0.7))</f>
        <v>0.1</v>
      </c>
      <c r="X879">
        <f>D879 - C879</f>
        <v>8</v>
      </c>
      <c r="Y879">
        <f>O879 * P879 * (1 - W879)</f>
        <v>3641.5439999999999</v>
      </c>
      <c r="Z879">
        <f>Y879 - S879</f>
        <v>951.17399999999998</v>
      </c>
      <c r="AA879">
        <f>IFERROR(Z879 / Y879, 0)</f>
        <v>0.26120074342092253</v>
      </c>
      <c r="AB879" t="str">
        <f>TEXT(C879, "mmmm")</f>
        <v>August</v>
      </c>
      <c r="AC879">
        <f>YEAR(C879)</f>
        <v>2025</v>
      </c>
      <c r="AD879" t="str">
        <f>IF(X879&lt;0, "Invalid: Ship Date Before Order Date", IF(W879&lt;0, "Invalid: Negative Discount", IF(W879&gt;0.5, "Invalid: Exceeds Allowed Discount", "OK")))</f>
        <v>OK</v>
      </c>
    </row>
    <row r="880" spans="1:30">
      <c r="A880" t="s">
        <v>4002</v>
      </c>
      <c r="B880" t="str">
        <f t="shared" si="13"/>
        <v>Unique</v>
      </c>
      <c r="C880" s="3">
        <v>45313</v>
      </c>
      <c r="D880" s="3">
        <v>45313</v>
      </c>
      <c r="E880" t="s">
        <v>4003</v>
      </c>
      <c r="F880" t="s">
        <v>25</v>
      </c>
      <c r="G880" t="s">
        <v>108</v>
      </c>
      <c r="H880" t="s">
        <v>42</v>
      </c>
      <c r="I880" t="s">
        <v>121</v>
      </c>
      <c r="J880" t="s">
        <v>122</v>
      </c>
      <c r="K880" t="s">
        <v>30</v>
      </c>
      <c r="L880" t="s">
        <v>31</v>
      </c>
      <c r="M880" t="s">
        <v>4004</v>
      </c>
      <c r="N880" t="s">
        <v>56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34</v>
      </c>
      <c r="V880" t="s">
        <v>35</v>
      </c>
      <c r="W880">
        <f>IF(ISBLANK(Q880), 0, IFERROR(VALUE(Q880), 0.7))</f>
        <v>0.05</v>
      </c>
      <c r="X880">
        <f>D880 - C880</f>
        <v>0</v>
      </c>
      <c r="Y880">
        <f>O880 * P880 * (1 - W880)</f>
        <v>11834.796</v>
      </c>
      <c r="Z880">
        <f>Y880 - S880</f>
        <v>2512.4359999999997</v>
      </c>
      <c r="AA880">
        <f>IFERROR(Z880 / Y880, 0)</f>
        <v>0.21229229468763125</v>
      </c>
      <c r="AB880" t="str">
        <f>TEXT(C880, "mmmm")</f>
        <v>January</v>
      </c>
      <c r="AC880">
        <f>YEAR(C880)</f>
        <v>2024</v>
      </c>
      <c r="AD880" t="str">
        <f>IF(X880&lt;0, "Invalid: Ship Date Before Order Date", IF(W880&lt;0, "Invalid: Negative Discount", IF(W880&gt;0.5, "Invalid: Exceeds Allowed Discount", "OK")))</f>
        <v>OK</v>
      </c>
    </row>
    <row r="881" spans="1:30">
      <c r="A881" t="s">
        <v>4005</v>
      </c>
      <c r="B881" t="str">
        <f t="shared" si="13"/>
        <v>Unique</v>
      </c>
      <c r="C881" s="3">
        <v>45896</v>
      </c>
      <c r="D881" s="3">
        <v>45897</v>
      </c>
      <c r="E881" t="s">
        <v>4007</v>
      </c>
      <c r="F881" t="s">
        <v>72</v>
      </c>
      <c r="G881" t="s">
        <v>115</v>
      </c>
      <c r="H881" t="s">
        <v>27</v>
      </c>
      <c r="I881" t="s">
        <v>174</v>
      </c>
      <c r="J881" t="s">
        <v>175</v>
      </c>
      <c r="K881" t="s">
        <v>30</v>
      </c>
      <c r="L881" t="s">
        <v>54</v>
      </c>
      <c r="M881" t="s">
        <v>4008</v>
      </c>
      <c r="N881" t="s">
        <v>67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34</v>
      </c>
      <c r="V881" t="s">
        <v>35</v>
      </c>
      <c r="W881">
        <f>IF(ISBLANK(Q881), 0, IFERROR(VALUE(Q881), 0.7))</f>
        <v>0.15</v>
      </c>
      <c r="X881">
        <f>D881 - C881</f>
        <v>1</v>
      </c>
      <c r="Y881">
        <f>O881 * P881 * (1 - W881)</f>
        <v>6028.3530000000001</v>
      </c>
      <c r="Z881">
        <f>Y881 - S881</f>
        <v>1594.723</v>
      </c>
      <c r="AA881">
        <f>IFERROR(Z881 / Y881, 0)</f>
        <v>0.26453709661660491</v>
      </c>
      <c r="AB881" t="str">
        <f>TEXT(C881, "mmmm")</f>
        <v>August</v>
      </c>
      <c r="AC881">
        <f>YEAR(C881)</f>
        <v>2025</v>
      </c>
      <c r="AD881" t="str">
        <f>IF(X881&lt;0, "Invalid: Ship Date Before Order Date", IF(W881&lt;0, "Invalid: Negative Discount", IF(W881&gt;0.5, "Invalid: Exceeds Allowed Discount", "OK")))</f>
        <v>OK</v>
      </c>
    </row>
    <row r="882" spans="1:30">
      <c r="A882" t="s">
        <v>4009</v>
      </c>
      <c r="B882" t="str">
        <f t="shared" si="13"/>
        <v>Unique</v>
      </c>
      <c r="C882" s="3">
        <v>45507</v>
      </c>
      <c r="D882" s="3">
        <v>45366</v>
      </c>
      <c r="E882" t="s">
        <v>4011</v>
      </c>
      <c r="F882" t="s">
        <v>162</v>
      </c>
      <c r="G882" t="s">
        <v>41</v>
      </c>
      <c r="H882" t="s">
        <v>4110</v>
      </c>
      <c r="I882" t="s">
        <v>154</v>
      </c>
      <c r="J882" t="s">
        <v>155</v>
      </c>
      <c r="K882" t="s">
        <v>45</v>
      </c>
      <c r="L882" t="s">
        <v>76</v>
      </c>
      <c r="M882" t="s">
        <v>4012</v>
      </c>
      <c r="N882" t="s">
        <v>56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34</v>
      </c>
      <c r="V882" t="s">
        <v>35</v>
      </c>
      <c r="W882">
        <f>IF(ISBLANK(Q882), 0, IFERROR(VALUE(Q882), 0.7))</f>
        <v>0</v>
      </c>
      <c r="X882">
        <f>D882 - C882</f>
        <v>-141</v>
      </c>
      <c r="Y882">
        <f>O882 * P882 * (1 - W882)</f>
        <v>16173.85</v>
      </c>
      <c r="Z882">
        <f>Y882 - S882</f>
        <v>2537.5100000000002</v>
      </c>
      <c r="AA882">
        <f>IFERROR(Z882 / Y882, 0)</f>
        <v>0.15688967067210344</v>
      </c>
      <c r="AB882" t="str">
        <f>TEXT(C882, "mmmm")</f>
        <v>August</v>
      </c>
      <c r="AC882">
        <f>YEAR(C882)</f>
        <v>2024</v>
      </c>
      <c r="AD882" t="str">
        <f>IF(X882&lt;0, "Invalid: Ship Date Before Order Date", IF(W882&lt;0, "Invalid: Negative Discount", IF(W882&gt;0.5, "Invalid: Exceeds Allowed Discount", "OK")))</f>
        <v>Invalid: Ship Date Before Order Date</v>
      </c>
    </row>
    <row r="883" spans="1:30">
      <c r="A883" t="s">
        <v>4013</v>
      </c>
      <c r="B883" t="str">
        <f t="shared" si="13"/>
        <v>Unique</v>
      </c>
      <c r="C883" s="3">
        <v>45627</v>
      </c>
      <c r="D883" s="3">
        <v>45424</v>
      </c>
      <c r="E883" t="s">
        <v>4015</v>
      </c>
      <c r="F883" t="s">
        <v>72</v>
      </c>
      <c r="G883" t="s">
        <v>41</v>
      </c>
      <c r="H883" t="s">
        <v>62</v>
      </c>
      <c r="I883" t="s">
        <v>100</v>
      </c>
      <c r="J883" t="s">
        <v>101</v>
      </c>
      <c r="K883" t="s">
        <v>86</v>
      </c>
      <c r="L883" t="s">
        <v>94</v>
      </c>
      <c r="M883" t="s">
        <v>4016</v>
      </c>
      <c r="N883" t="s">
        <v>33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34</v>
      </c>
      <c r="V883" t="s">
        <v>35</v>
      </c>
      <c r="W883">
        <f>IF(ISBLANK(Q883), 0, IFERROR(VALUE(Q883), 0.7))</f>
        <v>0.25</v>
      </c>
      <c r="X883">
        <f>D883 - C883</f>
        <v>-203</v>
      </c>
      <c r="Y883">
        <f>O883 * P883 * (1 - W883)</f>
        <v>25155.5625</v>
      </c>
      <c r="Z883">
        <f>Y883 - S883</f>
        <v>7562.8725000000013</v>
      </c>
      <c r="AA883">
        <f>IFERROR(Z883 / Y883, 0)</f>
        <v>0.30064414182747856</v>
      </c>
      <c r="AB883" t="str">
        <f>TEXT(C883, "mmmm")</f>
        <v>December</v>
      </c>
      <c r="AC883">
        <f>YEAR(C883)</f>
        <v>2024</v>
      </c>
      <c r="AD883" t="str">
        <f>IF(X883&lt;0, "Invalid: Ship Date Before Order Date", IF(W883&lt;0, "Invalid: Negative Discount", IF(W883&gt;0.5, "Invalid: Exceeds Allowed Discount", "OK")))</f>
        <v>Invalid: Ship Date Before Order Date</v>
      </c>
    </row>
    <row r="884" spans="1:30">
      <c r="A884" t="s">
        <v>4017</v>
      </c>
      <c r="B884" t="str">
        <f t="shared" si="13"/>
        <v>Unique</v>
      </c>
      <c r="C884" s="3">
        <v>45690</v>
      </c>
      <c r="D884" s="3">
        <v>45698</v>
      </c>
      <c r="E884" t="s">
        <v>4019</v>
      </c>
      <c r="F884" t="s">
        <v>168</v>
      </c>
      <c r="G884" t="s">
        <v>108</v>
      </c>
      <c r="H884" t="s">
        <v>42</v>
      </c>
      <c r="I884" t="s">
        <v>186</v>
      </c>
      <c r="J884" t="s">
        <v>187</v>
      </c>
      <c r="K884" t="s">
        <v>86</v>
      </c>
      <c r="L884" t="s">
        <v>87</v>
      </c>
      <c r="M884" t="s">
        <v>4020</v>
      </c>
      <c r="N884" t="s">
        <v>67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137</v>
      </c>
      <c r="V884" t="s">
        <v>125</v>
      </c>
      <c r="W884">
        <f>IF(ISBLANK(Q884), 0, IFERROR(VALUE(Q884), 0.7))</f>
        <v>0</v>
      </c>
      <c r="X884">
        <f>D884 - C884</f>
        <v>8</v>
      </c>
      <c r="Y884">
        <f>O884 * P884 * (1 - W884)</f>
        <v>7649.8</v>
      </c>
      <c r="Z884">
        <f>Y884 - S884</f>
        <v>2755.2700000000004</v>
      </c>
      <c r="AA884">
        <f>IFERROR(Z884 / Y884, 0)</f>
        <v>0.36017542942299152</v>
      </c>
      <c r="AB884" t="str">
        <f>TEXT(C884, "mmmm")</f>
        <v>February</v>
      </c>
      <c r="AC884">
        <f>YEAR(C884)</f>
        <v>2025</v>
      </c>
      <c r="AD884" t="str">
        <f>IF(X884&lt;0, "Invalid: Ship Date Before Order Date", IF(W884&lt;0, "Invalid: Negative Discount", IF(W884&gt;0.5, "Invalid: Exceeds Allowed Discount", "OK")))</f>
        <v>OK</v>
      </c>
    </row>
    <row r="885" spans="1:30">
      <c r="A885" t="s">
        <v>4021</v>
      </c>
      <c r="B885" t="str">
        <f t="shared" si="13"/>
        <v>Unique</v>
      </c>
      <c r="C885" s="3">
        <v>45775</v>
      </c>
      <c r="D885" s="3">
        <v>45778</v>
      </c>
      <c r="E885" t="s">
        <v>4024</v>
      </c>
      <c r="F885" t="s">
        <v>162</v>
      </c>
      <c r="G885" t="s">
        <v>41</v>
      </c>
      <c r="H885" t="s">
        <v>73</v>
      </c>
      <c r="I885" t="s">
        <v>249</v>
      </c>
      <c r="J885" t="s">
        <v>250</v>
      </c>
      <c r="K885" t="s">
        <v>30</v>
      </c>
      <c r="L885" t="s">
        <v>156</v>
      </c>
      <c r="M885" t="s">
        <v>4025</v>
      </c>
      <c r="N885" t="s">
        <v>48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34</v>
      </c>
      <c r="V885" t="s">
        <v>35</v>
      </c>
      <c r="W885">
        <f>IF(ISBLANK(Q885), 0, IFERROR(VALUE(Q885), 0.7))</f>
        <v>0</v>
      </c>
      <c r="X885">
        <f>D885 - C885</f>
        <v>3</v>
      </c>
      <c r="Y885">
        <f>O885 * P885 * (1 - W885)</f>
        <v>1620.87</v>
      </c>
      <c r="Z885">
        <f>Y885 - S885</f>
        <v>517.26</v>
      </c>
      <c r="AA885">
        <f>IFERROR(Z885 / Y885, 0)</f>
        <v>0.31912491439782342</v>
      </c>
      <c r="AB885" t="str">
        <f>TEXT(C885, "mmmm")</f>
        <v>April</v>
      </c>
      <c r="AC885">
        <f>YEAR(C885)</f>
        <v>2025</v>
      </c>
      <c r="AD885" t="str">
        <f>IF(X885&lt;0, "Invalid: Ship Date Before Order Date", IF(W885&lt;0, "Invalid: Negative Discount", IF(W885&gt;0.5, "Invalid: Exceeds Allowed Discount", "OK")))</f>
        <v>OK</v>
      </c>
    </row>
    <row r="886" spans="1:30">
      <c r="A886" t="s">
        <v>4026</v>
      </c>
      <c r="B886" t="str">
        <f t="shared" si="13"/>
        <v>Unique</v>
      </c>
      <c r="C886" s="3">
        <v>45675</v>
      </c>
      <c r="D886" s="3">
        <v>45682</v>
      </c>
      <c r="E886" t="s">
        <v>4029</v>
      </c>
      <c r="F886" t="s">
        <v>93</v>
      </c>
      <c r="G886" t="s">
        <v>115</v>
      </c>
      <c r="H886" t="s">
        <v>62</v>
      </c>
      <c r="I886" t="s">
        <v>229</v>
      </c>
      <c r="J886" t="s">
        <v>230</v>
      </c>
      <c r="K886" t="s">
        <v>30</v>
      </c>
      <c r="L886" t="s">
        <v>156</v>
      </c>
      <c r="M886" t="s">
        <v>4030</v>
      </c>
      <c r="N886" t="s">
        <v>48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34</v>
      </c>
      <c r="V886" t="s">
        <v>35</v>
      </c>
      <c r="W886">
        <f>IF(ISBLANK(Q886), 0, IFERROR(VALUE(Q886), 0.7))</f>
        <v>0.15</v>
      </c>
      <c r="X886">
        <f>D886 - C886</f>
        <v>7</v>
      </c>
      <c r="Y886">
        <f>O886 * P886 * (1 - W886)</f>
        <v>3567.518</v>
      </c>
      <c r="Z886">
        <f>Y886 - S886</f>
        <v>1155.7179999999998</v>
      </c>
      <c r="AA886">
        <f>IFERROR(Z886 / Y886, 0)</f>
        <v>0.32395575859743381</v>
      </c>
      <c r="AB886" t="str">
        <f>TEXT(C886, "mmmm")</f>
        <v>January</v>
      </c>
      <c r="AC886">
        <f>YEAR(C886)</f>
        <v>2025</v>
      </c>
      <c r="AD886" t="str">
        <f>IF(X886&lt;0, "Invalid: Ship Date Before Order Date", IF(W886&lt;0, "Invalid: Negative Discount", IF(W886&gt;0.5, "Invalid: Exceeds Allowed Discount", "OK")))</f>
        <v>OK</v>
      </c>
    </row>
    <row r="887" spans="1:30">
      <c r="A887" t="s">
        <v>4031</v>
      </c>
      <c r="B887" t="str">
        <f t="shared" si="13"/>
        <v>Unique</v>
      </c>
      <c r="C887" s="3">
        <v>45296</v>
      </c>
      <c r="D887" s="3">
        <v>45296</v>
      </c>
      <c r="E887" t="s">
        <v>4033</v>
      </c>
      <c r="F887" t="s">
        <v>210</v>
      </c>
      <c r="G887" t="s">
        <v>26</v>
      </c>
      <c r="H887" t="s">
        <v>27</v>
      </c>
      <c r="I887" t="s">
        <v>28</v>
      </c>
      <c r="J887" t="s">
        <v>29</v>
      </c>
      <c r="K887" t="s">
        <v>45</v>
      </c>
      <c r="L887" t="s">
        <v>46</v>
      </c>
      <c r="M887" t="s">
        <v>4034</v>
      </c>
      <c r="N887" t="s">
        <v>67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34</v>
      </c>
      <c r="V887" t="s">
        <v>35</v>
      </c>
      <c r="W887">
        <f>IF(ISBLANK(Q887), 0, IFERROR(VALUE(Q887), 0.7))</f>
        <v>0.25</v>
      </c>
      <c r="X887">
        <f>D887 - C887</f>
        <v>0</v>
      </c>
      <c r="Y887">
        <f>O887 * P887 * (1 - W887)</f>
        <v>1625.31</v>
      </c>
      <c r="Z887">
        <f>Y887 - S887</f>
        <v>467.41999999999985</v>
      </c>
      <c r="AA887">
        <f>IFERROR(Z887 / Y887, 0)</f>
        <v>0.28758821394072509</v>
      </c>
      <c r="AB887" t="str">
        <f>TEXT(C887, "mmmm")</f>
        <v>January</v>
      </c>
      <c r="AC887">
        <f>YEAR(C887)</f>
        <v>2024</v>
      </c>
      <c r="AD887" t="str">
        <f>IF(X887&lt;0, "Invalid: Ship Date Before Order Date", IF(W887&lt;0, "Invalid: Negative Discount", IF(W887&gt;0.5, "Invalid: Exceeds Allowed Discount", "OK")))</f>
        <v>OK</v>
      </c>
    </row>
    <row r="888" spans="1:30">
      <c r="A888" t="s">
        <v>4035</v>
      </c>
      <c r="B888" t="str">
        <f t="shared" si="13"/>
        <v>Unique</v>
      </c>
      <c r="C888" s="3">
        <v>45773</v>
      </c>
      <c r="D888" s="3">
        <v>45721</v>
      </c>
      <c r="E888" t="s">
        <v>4038</v>
      </c>
      <c r="F888" t="s">
        <v>61</v>
      </c>
      <c r="G888" t="s">
        <v>115</v>
      </c>
      <c r="H888" t="s">
        <v>62</v>
      </c>
      <c r="I888" t="s">
        <v>339</v>
      </c>
      <c r="J888" t="s">
        <v>340</v>
      </c>
      <c r="K888" t="s">
        <v>86</v>
      </c>
      <c r="L888" t="s">
        <v>87</v>
      </c>
      <c r="M888" t="s">
        <v>4039</v>
      </c>
      <c r="N888" t="s">
        <v>56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34</v>
      </c>
      <c r="V888" t="s">
        <v>78</v>
      </c>
      <c r="W888">
        <f>IF(ISBLANK(Q888), 0, IFERROR(VALUE(Q888), 0.7))</f>
        <v>0.15</v>
      </c>
      <c r="X888">
        <f>D888 - C888</f>
        <v>-52</v>
      </c>
      <c r="Y888">
        <f>O888 * P888 * (1 - W888)</f>
        <v>23739.904999999999</v>
      </c>
      <c r="Z888">
        <f>Y888 - S888</f>
        <v>6023.3849999999984</v>
      </c>
      <c r="AA888">
        <f>IFERROR(Z888 / Y888, 0)</f>
        <v>0.25372405660427028</v>
      </c>
      <c r="AB888" t="str">
        <f>TEXT(C888, "mmmm")</f>
        <v>April</v>
      </c>
      <c r="AC888">
        <f>YEAR(C888)</f>
        <v>2025</v>
      </c>
      <c r="AD888" t="str">
        <f>IF(X888&lt;0, "Invalid: Ship Date Before Order Date", IF(W888&lt;0, "Invalid: Negative Discount", IF(W888&gt;0.5, "Invalid: Exceeds Allowed Discount", "OK")))</f>
        <v>Invalid: Ship Date Before Order Date</v>
      </c>
    </row>
    <row r="889" spans="1:30">
      <c r="A889" t="s">
        <v>4040</v>
      </c>
      <c r="B889" t="str">
        <f t="shared" si="13"/>
        <v>Unique</v>
      </c>
      <c r="C889" s="3">
        <v>45455</v>
      </c>
      <c r="D889" s="3">
        <v>45461</v>
      </c>
      <c r="E889" t="s">
        <v>4041</v>
      </c>
      <c r="F889" t="s">
        <v>162</v>
      </c>
      <c r="G889" t="s">
        <v>41</v>
      </c>
      <c r="H889" t="s">
        <v>62</v>
      </c>
      <c r="I889" t="s">
        <v>100</v>
      </c>
      <c r="J889" t="s">
        <v>101</v>
      </c>
      <c r="K889" t="s">
        <v>30</v>
      </c>
      <c r="L889" t="s">
        <v>54</v>
      </c>
      <c r="M889" t="s">
        <v>4042</v>
      </c>
      <c r="N889" t="s">
        <v>67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34</v>
      </c>
      <c r="V889" t="s">
        <v>35</v>
      </c>
      <c r="W889">
        <f>IF(ISBLANK(Q889), 0, IFERROR(VALUE(Q889), 0.7))</f>
        <v>0</v>
      </c>
      <c r="X889">
        <f>D889 - C889</f>
        <v>6</v>
      </c>
      <c r="Y889">
        <f>O889 * P889 * (1 - W889)</f>
        <v>16704.52</v>
      </c>
      <c r="Z889">
        <f>Y889 - S889</f>
        <v>6546.24</v>
      </c>
      <c r="AA889">
        <f>IFERROR(Z889 / Y889, 0)</f>
        <v>0.39188435225914897</v>
      </c>
      <c r="AB889" t="str">
        <f>TEXT(C889, "mmmm")</f>
        <v>June</v>
      </c>
      <c r="AC889">
        <f>YEAR(C889)</f>
        <v>2024</v>
      </c>
      <c r="AD889" t="str">
        <f>IF(X889&lt;0, "Invalid: Ship Date Before Order Date", IF(W889&lt;0, "Invalid: Negative Discount", IF(W889&gt;0.5, "Invalid: Exceeds Allowed Discount", "OK")))</f>
        <v>OK</v>
      </c>
    </row>
    <row r="890" spans="1:30">
      <c r="A890" t="s">
        <v>4043</v>
      </c>
      <c r="B890" t="str">
        <f t="shared" si="13"/>
        <v>Unique</v>
      </c>
      <c r="C890" s="3">
        <v>45816</v>
      </c>
      <c r="D890" s="3">
        <v>45846</v>
      </c>
      <c r="E890" t="s">
        <v>4045</v>
      </c>
      <c r="F890" t="s">
        <v>148</v>
      </c>
      <c r="G890" t="s">
        <v>41</v>
      </c>
      <c r="H890" t="s">
        <v>73</v>
      </c>
      <c r="I890" t="s">
        <v>74</v>
      </c>
      <c r="J890" t="s">
        <v>75</v>
      </c>
      <c r="K890" t="s">
        <v>30</v>
      </c>
      <c r="L890" t="s">
        <v>54</v>
      </c>
      <c r="M890" t="s">
        <v>4046</v>
      </c>
      <c r="N890" t="s">
        <v>67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124</v>
      </c>
      <c r="V890" t="s">
        <v>78</v>
      </c>
      <c r="W890">
        <f>IF(ISBLANK(Q890), 0, IFERROR(VALUE(Q890), 0.7))</f>
        <v>0.1</v>
      </c>
      <c r="X890">
        <f>D890 - C890</f>
        <v>30</v>
      </c>
      <c r="Y890">
        <f>O890 * P890 * (1 - W890)</f>
        <v>12685.103999999999</v>
      </c>
      <c r="Z890">
        <f>Y890 - S890</f>
        <v>1905.5439999999999</v>
      </c>
      <c r="AA890">
        <f>IFERROR(Z890 / Y890, 0)</f>
        <v>0.15021902855506741</v>
      </c>
      <c r="AB890" t="str">
        <f>TEXT(C890, "mmmm")</f>
        <v>June</v>
      </c>
      <c r="AC890">
        <f>YEAR(C890)</f>
        <v>2025</v>
      </c>
      <c r="AD890" t="str">
        <f>IF(X890&lt;0, "Invalid: Ship Date Before Order Date", IF(W890&lt;0, "Invalid: Negative Discount", IF(W890&gt;0.5, "Invalid: Exceeds Allowed Discount", "OK")))</f>
        <v>OK</v>
      </c>
    </row>
    <row r="891" spans="1:30">
      <c r="A891" t="s">
        <v>4047</v>
      </c>
      <c r="B891" t="str">
        <f t="shared" si="13"/>
        <v>Unique</v>
      </c>
      <c r="C891" s="3">
        <v>45726</v>
      </c>
      <c r="D891" s="3">
        <v>45727</v>
      </c>
      <c r="E891" t="s">
        <v>1349</v>
      </c>
      <c r="F891" t="s">
        <v>107</v>
      </c>
      <c r="G891" t="s">
        <v>115</v>
      </c>
      <c r="H891" t="s">
        <v>73</v>
      </c>
      <c r="I891" t="s">
        <v>84</v>
      </c>
      <c r="J891" t="s">
        <v>85</v>
      </c>
      <c r="K891" t="s">
        <v>30</v>
      </c>
      <c r="L891" t="s">
        <v>156</v>
      </c>
      <c r="M891" t="s">
        <v>4050</v>
      </c>
      <c r="N891" t="s">
        <v>56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34</v>
      </c>
      <c r="V891" t="s">
        <v>125</v>
      </c>
      <c r="W891">
        <f>IF(ISBLANK(Q891), 0, IFERROR(VALUE(Q891), 0.7))</f>
        <v>0.25</v>
      </c>
      <c r="X891">
        <f>D891 - C891</f>
        <v>1</v>
      </c>
      <c r="Y891">
        <f>O891 * P891 * (1 - W891)</f>
        <v>5883.12</v>
      </c>
      <c r="Z891">
        <f>Y891 - S891</f>
        <v>1235.21</v>
      </c>
      <c r="AA891">
        <f>IFERROR(Z891 / Y891, 0)</f>
        <v>0.20995832143488491</v>
      </c>
      <c r="AB891" t="str">
        <f>TEXT(C891, "mmmm")</f>
        <v>March</v>
      </c>
      <c r="AC891">
        <f>YEAR(C891)</f>
        <v>2025</v>
      </c>
      <c r="AD891" t="str">
        <f>IF(X891&lt;0, "Invalid: Ship Date Before Order Date", IF(W891&lt;0, "Invalid: Negative Discount", IF(W891&gt;0.5, "Invalid: Exceeds Allowed Discount", "OK")))</f>
        <v>OK</v>
      </c>
    </row>
    <row r="892" spans="1:30">
      <c r="A892" t="s">
        <v>4051</v>
      </c>
      <c r="B892" t="str">
        <f t="shared" si="13"/>
        <v>Unique</v>
      </c>
      <c r="C892" s="3">
        <v>45427</v>
      </c>
      <c r="D892" s="3">
        <v>45433</v>
      </c>
      <c r="E892" t="s">
        <v>4052</v>
      </c>
      <c r="F892" t="s">
        <v>25</v>
      </c>
      <c r="G892" t="s">
        <v>26</v>
      </c>
      <c r="H892" t="s">
        <v>73</v>
      </c>
      <c r="I892" t="s">
        <v>249</v>
      </c>
      <c r="J892" t="s">
        <v>250</v>
      </c>
      <c r="K892" t="s">
        <v>30</v>
      </c>
      <c r="L892" t="s">
        <v>156</v>
      </c>
      <c r="M892" t="s">
        <v>4053</v>
      </c>
      <c r="N892" t="s">
        <v>67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34</v>
      </c>
      <c r="V892" t="s">
        <v>35</v>
      </c>
      <c r="W892">
        <f>IF(ISBLANK(Q892), 0, IFERROR(VALUE(Q892), 0.7))</f>
        <v>0.2</v>
      </c>
      <c r="X892">
        <f>D892 - C892</f>
        <v>6</v>
      </c>
      <c r="Y892">
        <f>O892 * P892 * (1 - W892)</f>
        <v>13965.888000000001</v>
      </c>
      <c r="Z892">
        <f>Y892 - S892</f>
        <v>2319.768</v>
      </c>
      <c r="AA892">
        <f>IFERROR(Z892 / Y892, 0)</f>
        <v>0.16610243473239938</v>
      </c>
      <c r="AB892" t="str">
        <f>TEXT(C892, "mmmm")</f>
        <v>May</v>
      </c>
      <c r="AC892">
        <f>YEAR(C892)</f>
        <v>2024</v>
      </c>
      <c r="AD892" t="str">
        <f>IF(X892&lt;0, "Invalid: Ship Date Before Order Date", IF(W892&lt;0, "Invalid: Negative Discount", IF(W892&gt;0.5, "Invalid: Exceeds Allowed Discount", "OK")))</f>
        <v>OK</v>
      </c>
    </row>
    <row r="893" spans="1:30">
      <c r="A893" t="s">
        <v>4054</v>
      </c>
      <c r="B893" t="str">
        <f t="shared" si="13"/>
        <v>Unique</v>
      </c>
      <c r="C893" s="3">
        <v>45573</v>
      </c>
      <c r="D893" s="3">
        <v>45545</v>
      </c>
      <c r="E893" t="s">
        <v>4055</v>
      </c>
      <c r="F893" t="s">
        <v>366</v>
      </c>
      <c r="G893" t="s">
        <v>108</v>
      </c>
      <c r="H893" t="s">
        <v>62</v>
      </c>
      <c r="I893" t="s">
        <v>339</v>
      </c>
      <c r="J893" t="s">
        <v>340</v>
      </c>
      <c r="K893" t="s">
        <v>86</v>
      </c>
      <c r="L893" t="s">
        <v>382</v>
      </c>
      <c r="M893" t="s">
        <v>4056</v>
      </c>
      <c r="N893" t="s">
        <v>48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200</v>
      </c>
      <c r="V893" t="s">
        <v>78</v>
      </c>
      <c r="W893">
        <f>IF(ISBLANK(Q893), 0, IFERROR(VALUE(Q893), 0.7))</f>
        <v>0.1</v>
      </c>
      <c r="X893">
        <f>D893 - C893</f>
        <v>-28</v>
      </c>
      <c r="Y893">
        <f>O893 * P893 * (1 - W893)</f>
        <v>10835.865</v>
      </c>
      <c r="Z893">
        <f>Y893 - S893</f>
        <v>4415.9449999999997</v>
      </c>
      <c r="AA893">
        <f>IFERROR(Z893 / Y893, 0)</f>
        <v>0.40753045557507406</v>
      </c>
      <c r="AB893" t="str">
        <f>TEXT(C893, "mmmm")</f>
        <v>October</v>
      </c>
      <c r="AC893">
        <f>YEAR(C893)</f>
        <v>2024</v>
      </c>
      <c r="AD893" t="str">
        <f>IF(X893&lt;0, "Invalid: Ship Date Before Order Date", IF(W893&lt;0, "Invalid: Negative Discount", IF(W893&gt;0.5, "Invalid: Exceeds Allowed Discount", "OK")))</f>
        <v>Invalid: Ship Date Before Order Date</v>
      </c>
    </row>
    <row r="894" spans="1:30">
      <c r="A894" t="s">
        <v>4057</v>
      </c>
      <c r="B894" t="str">
        <f t="shared" si="13"/>
        <v>Unique</v>
      </c>
      <c r="C894" s="3">
        <v>45759</v>
      </c>
      <c r="D894" s="3">
        <v>45765</v>
      </c>
      <c r="E894" t="s">
        <v>4059</v>
      </c>
      <c r="F894" t="s">
        <v>53</v>
      </c>
      <c r="G894" t="s">
        <v>41</v>
      </c>
      <c r="H894" t="s">
        <v>42</v>
      </c>
      <c r="I894" t="s">
        <v>311</v>
      </c>
      <c r="J894" t="s">
        <v>312</v>
      </c>
      <c r="K894" t="s">
        <v>86</v>
      </c>
      <c r="L894" t="s">
        <v>94</v>
      </c>
      <c r="M894" t="s">
        <v>4060</v>
      </c>
      <c r="N894" t="s">
        <v>48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34</v>
      </c>
      <c r="V894" t="s">
        <v>35</v>
      </c>
      <c r="W894">
        <f>IF(ISBLANK(Q894), 0, IFERROR(VALUE(Q894), 0.7))</f>
        <v>0.2</v>
      </c>
      <c r="X894">
        <f>D894 - C894</f>
        <v>6</v>
      </c>
      <c r="Y894">
        <f>O894 * P894 * (1 - W894)</f>
        <v>581.51200000000006</v>
      </c>
      <c r="Z894">
        <f>Y894 - S894</f>
        <v>157.65200000000004</v>
      </c>
      <c r="AA894">
        <f>IFERROR(Z894 / Y894, 0)</f>
        <v>0.27110704508247468</v>
      </c>
      <c r="AB894" t="str">
        <f>TEXT(C894, "mmmm")</f>
        <v>April</v>
      </c>
      <c r="AC894">
        <f>YEAR(C894)</f>
        <v>2025</v>
      </c>
      <c r="AD894" t="str">
        <f>IF(X894&lt;0, "Invalid: Ship Date Before Order Date", IF(W894&lt;0, "Invalid: Negative Discount", IF(W894&gt;0.5, "Invalid: Exceeds Allowed Discount", "OK")))</f>
        <v>OK</v>
      </c>
    </row>
    <row r="895" spans="1:30">
      <c r="A895" t="s">
        <v>4061</v>
      </c>
      <c r="B895" t="str">
        <f t="shared" si="13"/>
        <v>Unique</v>
      </c>
      <c r="C895" s="3">
        <v>45449</v>
      </c>
      <c r="D895" s="3">
        <v>45451</v>
      </c>
      <c r="E895" t="s">
        <v>4064</v>
      </c>
      <c r="F895" t="s">
        <v>162</v>
      </c>
      <c r="G895" t="s">
        <v>108</v>
      </c>
      <c r="H895" t="s">
        <v>62</v>
      </c>
      <c r="I895" t="s">
        <v>229</v>
      </c>
      <c r="J895" t="s">
        <v>230</v>
      </c>
      <c r="K895" t="s">
        <v>45</v>
      </c>
      <c r="L895" t="s">
        <v>46</v>
      </c>
      <c r="M895" t="s">
        <v>4065</v>
      </c>
      <c r="N895" t="s">
        <v>33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34</v>
      </c>
      <c r="V895" t="s">
        <v>125</v>
      </c>
      <c r="W895">
        <f>IF(ISBLANK(Q895), 0, IFERROR(VALUE(Q895), 0.7))</f>
        <v>0.05</v>
      </c>
      <c r="X895">
        <f>D895 - C895</f>
        <v>2</v>
      </c>
      <c r="Y895">
        <f>O895 * P895 * (1 - W895)</f>
        <v>1127.1465000000001</v>
      </c>
      <c r="Z895">
        <f>Y895 - S895</f>
        <v>281.52650000000006</v>
      </c>
      <c r="AA895">
        <f>IFERROR(Z895 / Y895, 0)</f>
        <v>0.24976921810962466</v>
      </c>
      <c r="AB895" t="str">
        <f>TEXT(C895, "mmmm")</f>
        <v>June</v>
      </c>
      <c r="AC895">
        <f>YEAR(C895)</f>
        <v>2024</v>
      </c>
      <c r="AD895" t="str">
        <f>IF(X895&lt;0, "Invalid: Ship Date Before Order Date", IF(W895&lt;0, "Invalid: Negative Discount", IF(W895&gt;0.5, "Invalid: Exceeds Allowed Discount", "OK")))</f>
        <v>OK</v>
      </c>
    </row>
    <row r="896" spans="1:30">
      <c r="A896" t="s">
        <v>4066</v>
      </c>
      <c r="B896" t="str">
        <f t="shared" si="13"/>
        <v>Unique</v>
      </c>
      <c r="C896" s="3">
        <v>45344</v>
      </c>
      <c r="D896" s="3">
        <v>45351</v>
      </c>
      <c r="E896" t="s">
        <v>4068</v>
      </c>
      <c r="F896" t="s">
        <v>53</v>
      </c>
      <c r="G896" t="s">
        <v>115</v>
      </c>
      <c r="H896" t="s">
        <v>62</v>
      </c>
      <c r="I896" t="s">
        <v>63</v>
      </c>
      <c r="J896" t="s">
        <v>64</v>
      </c>
      <c r="K896" t="s">
        <v>45</v>
      </c>
      <c r="L896" t="s">
        <v>46</v>
      </c>
      <c r="M896" t="s">
        <v>4069</v>
      </c>
      <c r="N896" t="s">
        <v>56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34</v>
      </c>
      <c r="V896" t="s">
        <v>35</v>
      </c>
      <c r="W896">
        <f>IF(ISBLANK(Q896), 0, IFERROR(VALUE(Q896), 0.7))</f>
        <v>0</v>
      </c>
      <c r="X896">
        <f>D896 - C896</f>
        <v>7</v>
      </c>
      <c r="Y896">
        <f>O896 * P896 * (1 - W896)</f>
        <v>25524.300000000003</v>
      </c>
      <c r="Z896">
        <f>Y896 - S896</f>
        <v>8812.3700000000026</v>
      </c>
      <c r="AA896">
        <f>IFERROR(Z896 / Y896, 0)</f>
        <v>0.34525413037771857</v>
      </c>
      <c r="AB896" t="str">
        <f>TEXT(C896, "mmmm")</f>
        <v>February</v>
      </c>
      <c r="AC896">
        <f>YEAR(C896)</f>
        <v>2024</v>
      </c>
      <c r="AD896" t="str">
        <f>IF(X896&lt;0, "Invalid: Ship Date Before Order Date", IF(W896&lt;0, "Invalid: Negative Discount", IF(W896&gt;0.5, "Invalid: Exceeds Allowed Discount", "OK")))</f>
        <v>OK</v>
      </c>
    </row>
    <row r="897" spans="1:30">
      <c r="A897" t="s">
        <v>4070</v>
      </c>
      <c r="B897" t="str">
        <f t="shared" si="13"/>
        <v>Unique</v>
      </c>
      <c r="C897" s="3">
        <v>45601</v>
      </c>
      <c r="D897" s="3">
        <v>45606</v>
      </c>
      <c r="E897" t="s">
        <v>4072</v>
      </c>
      <c r="F897" t="s">
        <v>61</v>
      </c>
      <c r="G897" t="s">
        <v>26</v>
      </c>
      <c r="H897" t="s">
        <v>62</v>
      </c>
      <c r="I897" t="s">
        <v>242</v>
      </c>
      <c r="J897" t="s">
        <v>243</v>
      </c>
      <c r="K897" t="s">
        <v>45</v>
      </c>
      <c r="L897" t="s">
        <v>76</v>
      </c>
      <c r="M897" t="s">
        <v>4073</v>
      </c>
      <c r="N897" t="s">
        <v>48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137</v>
      </c>
      <c r="V897" t="s">
        <v>125</v>
      </c>
      <c r="W897">
        <f>IF(ISBLANK(Q897), 0, IFERROR(VALUE(Q897), 0.7))</f>
        <v>0.15</v>
      </c>
      <c r="X897">
        <f>D897 - C897</f>
        <v>5</v>
      </c>
      <c r="Y897">
        <f>O897 * P897 * (1 - W897)</f>
        <v>2418.0119999999997</v>
      </c>
      <c r="Z897">
        <f>Y897 - S897</f>
        <v>976.12199999999962</v>
      </c>
      <c r="AA897">
        <f>IFERROR(Z897 / Y897, 0)</f>
        <v>0.40368782288921634</v>
      </c>
      <c r="AB897" t="str">
        <f>TEXT(C897, "mmmm")</f>
        <v>November</v>
      </c>
      <c r="AC897">
        <f>YEAR(C897)</f>
        <v>2024</v>
      </c>
      <c r="AD897" t="str">
        <f>IF(X897&lt;0, "Invalid: Ship Date Before Order Date", IF(W897&lt;0, "Invalid: Negative Discount", IF(W897&gt;0.5, "Invalid: Exceeds Allowed Discount", "OK")))</f>
        <v>OK</v>
      </c>
    </row>
    <row r="898" spans="1:30">
      <c r="A898" t="s">
        <v>4074</v>
      </c>
      <c r="B898" t="str">
        <f t="shared" si="13"/>
        <v>Unique</v>
      </c>
      <c r="C898" s="3">
        <v>45650</v>
      </c>
      <c r="D898" s="3">
        <v>45651</v>
      </c>
      <c r="E898" t="s">
        <v>4076</v>
      </c>
      <c r="F898" t="s">
        <v>72</v>
      </c>
      <c r="G898" t="s">
        <v>41</v>
      </c>
      <c r="H898" t="s">
        <v>62</v>
      </c>
      <c r="I898" t="s">
        <v>339</v>
      </c>
      <c r="J898" t="s">
        <v>340</v>
      </c>
      <c r="K898" t="s">
        <v>86</v>
      </c>
      <c r="L898" t="s">
        <v>94</v>
      </c>
      <c r="M898" t="s">
        <v>4077</v>
      </c>
      <c r="N898" t="s">
        <v>33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200</v>
      </c>
      <c r="V898" t="s">
        <v>125</v>
      </c>
      <c r="W898">
        <f>IF(ISBLANK(Q898), 0, IFERROR(VALUE(Q898), 0.7))</f>
        <v>0.05</v>
      </c>
      <c r="X898">
        <f>D898 - C898</f>
        <v>1</v>
      </c>
      <c r="Y898">
        <f>O898 * P898 * (1 - W898)</f>
        <v>3508.3784999999998</v>
      </c>
      <c r="Z898">
        <f>Y898 - S898</f>
        <v>680.31849999999986</v>
      </c>
      <c r="AA898">
        <f>IFERROR(Z898 / Y898, 0)</f>
        <v>0.19391251542557336</v>
      </c>
      <c r="AB898" t="str">
        <f>TEXT(C898, "mmmm")</f>
        <v>December</v>
      </c>
      <c r="AC898">
        <f>YEAR(C898)</f>
        <v>2024</v>
      </c>
      <c r="AD898" t="str">
        <f>IF(X898&lt;0, "Invalid: Ship Date Before Order Date", IF(W898&lt;0, "Invalid: Negative Discount", IF(W898&gt;0.5, "Invalid: Exceeds Allowed Discount", "OK")))</f>
        <v>OK</v>
      </c>
    </row>
    <row r="899" spans="1:30">
      <c r="A899" t="s">
        <v>4078</v>
      </c>
      <c r="B899" t="str">
        <f t="shared" ref="B899:B913" si="14">IF(COUNTIF(A:A, A899)&gt;1, "Review: Duplicate Order ID", "Unique")</f>
        <v>Unique</v>
      </c>
      <c r="C899" s="3">
        <v>45776</v>
      </c>
      <c r="D899" s="3">
        <v>45780</v>
      </c>
      <c r="E899" t="s">
        <v>3200</v>
      </c>
      <c r="F899" t="s">
        <v>180</v>
      </c>
      <c r="G899" t="s">
        <v>108</v>
      </c>
      <c r="H899" t="s">
        <v>27</v>
      </c>
      <c r="I899" t="s">
        <v>323</v>
      </c>
      <c r="J899" t="s">
        <v>324</v>
      </c>
      <c r="K899" t="s">
        <v>30</v>
      </c>
      <c r="L899" t="s">
        <v>31</v>
      </c>
      <c r="M899" t="s">
        <v>4080</v>
      </c>
      <c r="N899" t="s">
        <v>56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34</v>
      </c>
      <c r="V899" t="s">
        <v>35</v>
      </c>
      <c r="W899">
        <f>IF(ISBLANK(Q899), 0, IFERROR(VALUE(Q899), 0.7))</f>
        <v>0.05</v>
      </c>
      <c r="X899">
        <f>D899 - C899</f>
        <v>4</v>
      </c>
      <c r="Y899">
        <f>O899 * P899 * (1 - W899)</f>
        <v>6789.27</v>
      </c>
      <c r="Z899">
        <f>Y899 - S899</f>
        <v>1162.8400000000001</v>
      </c>
      <c r="AA899">
        <f>IFERROR(Z899 / Y899, 0)</f>
        <v>0.17127614603631908</v>
      </c>
      <c r="AB899" t="str">
        <f>TEXT(C899, "mmmm")</f>
        <v>April</v>
      </c>
      <c r="AC899">
        <f>YEAR(C899)</f>
        <v>2025</v>
      </c>
      <c r="AD899" t="str">
        <f>IF(X899&lt;0, "Invalid: Ship Date Before Order Date", IF(W899&lt;0, "Invalid: Negative Discount", IF(W899&gt;0.5, "Invalid: Exceeds Allowed Discount", "OK")))</f>
        <v>OK</v>
      </c>
    </row>
    <row r="900" spans="1:30">
      <c r="A900" t="s">
        <v>4081</v>
      </c>
      <c r="B900" t="str">
        <f t="shared" si="14"/>
        <v>Unique</v>
      </c>
      <c r="C900" s="3">
        <v>45445</v>
      </c>
      <c r="D900" s="3">
        <v>45451</v>
      </c>
      <c r="E900" t="s">
        <v>4082</v>
      </c>
      <c r="F900" t="s">
        <v>83</v>
      </c>
      <c r="G900" t="s">
        <v>26</v>
      </c>
      <c r="H900" t="s">
        <v>27</v>
      </c>
      <c r="I900" t="s">
        <v>506</v>
      </c>
      <c r="J900" t="s">
        <v>507</v>
      </c>
      <c r="K900" t="s">
        <v>45</v>
      </c>
      <c r="L900" t="s">
        <v>46</v>
      </c>
      <c r="M900" t="s">
        <v>4083</v>
      </c>
      <c r="N900" t="s">
        <v>56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34</v>
      </c>
      <c r="V900" t="s">
        <v>35</v>
      </c>
      <c r="W900">
        <f>IF(ISBLANK(Q900), 0, IFERROR(VALUE(Q900), 0.7))</f>
        <v>0.2</v>
      </c>
      <c r="X900">
        <f>D900 - C900</f>
        <v>6</v>
      </c>
      <c r="Y900">
        <f>O900 * P900 * (1 - W900)</f>
        <v>4917.4400000000005</v>
      </c>
      <c r="Z900">
        <f>Y900 - S900</f>
        <v>1070.6700000000005</v>
      </c>
      <c r="AA900">
        <f>IFERROR(Z900 / Y900, 0)</f>
        <v>0.21772914361944434</v>
      </c>
      <c r="AB900" t="str">
        <f>TEXT(C900, "mmmm")</f>
        <v>June</v>
      </c>
      <c r="AC900">
        <f>YEAR(C900)</f>
        <v>2024</v>
      </c>
      <c r="AD900" t="str">
        <f>IF(X900&lt;0, "Invalid: Ship Date Before Order Date", IF(W900&lt;0, "Invalid: Negative Discount", IF(W900&gt;0.5, "Invalid: Exceeds Allowed Discount", "OK")))</f>
        <v>OK</v>
      </c>
    </row>
    <row r="901" spans="1:30">
      <c r="A901" t="s">
        <v>4084</v>
      </c>
      <c r="B901" t="str">
        <f t="shared" si="14"/>
        <v>Unique</v>
      </c>
      <c r="C901" s="3">
        <v>45804</v>
      </c>
      <c r="D901" s="3">
        <v>45811</v>
      </c>
      <c r="E901" t="s">
        <v>4086</v>
      </c>
      <c r="F901" t="s">
        <v>25</v>
      </c>
      <c r="G901" t="s">
        <v>26</v>
      </c>
      <c r="H901" t="s">
        <v>27</v>
      </c>
      <c r="I901" t="s">
        <v>154</v>
      </c>
      <c r="J901" t="s">
        <v>155</v>
      </c>
      <c r="K901" t="s">
        <v>45</v>
      </c>
      <c r="L901" t="s">
        <v>76</v>
      </c>
      <c r="M901" t="s">
        <v>4087</v>
      </c>
      <c r="N901" t="s">
        <v>56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200</v>
      </c>
      <c r="V901" t="s">
        <v>78</v>
      </c>
      <c r="W901">
        <f>IF(ISBLANK(Q901), 0, IFERROR(VALUE(Q901), 0.7))</f>
        <v>0.25</v>
      </c>
      <c r="X901">
        <f>D901 - C901</f>
        <v>7</v>
      </c>
      <c r="Y901">
        <f>O901 * P901 * (1 - W901)</f>
        <v>3304.05</v>
      </c>
      <c r="Z901">
        <f>Y901 - S901</f>
        <v>1024.6400000000003</v>
      </c>
      <c r="AA901">
        <f>IFERROR(Z901 / Y901, 0)</f>
        <v>0.31011637233092726</v>
      </c>
      <c r="AB901" t="str">
        <f>TEXT(C901, "mmmm")</f>
        <v>May</v>
      </c>
      <c r="AC901">
        <f>YEAR(C901)</f>
        <v>2025</v>
      </c>
      <c r="AD901" t="str">
        <f>IF(X901&lt;0, "Invalid: Ship Date Before Order Date", IF(W901&lt;0, "Invalid: Negative Discount", IF(W901&gt;0.5, "Invalid: Exceeds Allowed Discount", "OK")))</f>
        <v>OK</v>
      </c>
    </row>
    <row r="902" spans="1:30">
      <c r="A902" t="s">
        <v>1677</v>
      </c>
      <c r="B902" t="str">
        <f t="shared" si="14"/>
        <v>Review: Duplicate Order ID</v>
      </c>
      <c r="C902" s="3">
        <v>45394</v>
      </c>
      <c r="D902" s="3">
        <v>45632</v>
      </c>
      <c r="E902" t="s">
        <v>1679</v>
      </c>
      <c r="F902" t="s">
        <v>168</v>
      </c>
      <c r="G902" t="s">
        <v>115</v>
      </c>
      <c r="H902" t="s">
        <v>42</v>
      </c>
      <c r="I902" t="s">
        <v>43</v>
      </c>
      <c r="J902" t="s">
        <v>44</v>
      </c>
      <c r="K902" t="s">
        <v>30</v>
      </c>
      <c r="L902" t="s">
        <v>198</v>
      </c>
      <c r="M902" t="s">
        <v>1680</v>
      </c>
      <c r="N902" t="s">
        <v>33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34</v>
      </c>
      <c r="V902" t="s">
        <v>35</v>
      </c>
      <c r="W902">
        <f>IF(ISBLANK(Q902), 0, IFERROR(VALUE(Q902), 0.7))</f>
        <v>0</v>
      </c>
      <c r="X902">
        <f>D902 - C902</f>
        <v>238</v>
      </c>
      <c r="Y902">
        <f>O902 * P902 * (1 - W902)</f>
        <v>10742.64</v>
      </c>
      <c r="Z902">
        <f>Y902 - S902</f>
        <v>4265.2699999999995</v>
      </c>
      <c r="AA902">
        <f>IFERROR(Z902 / Y902, 0)</f>
        <v>0.39704113700170535</v>
      </c>
      <c r="AB902" t="str">
        <f>TEXT(C902, "mmmm")</f>
        <v>April</v>
      </c>
      <c r="AC902">
        <f>YEAR(C902)</f>
        <v>2024</v>
      </c>
      <c r="AD902" t="str">
        <f>IF(X902&lt;0, "Invalid: Ship Date Before Order Date", IF(W902&lt;0, "Invalid: Negative Discount", IF(W902&gt;0.5, "Invalid: Exceeds Allowed Discount", "OK")))</f>
        <v>OK</v>
      </c>
    </row>
    <row r="903" spans="1:30">
      <c r="A903" t="s">
        <v>549</v>
      </c>
      <c r="B903" t="str">
        <f t="shared" si="14"/>
        <v>Review: Duplicate Order ID</v>
      </c>
      <c r="C903" s="3">
        <v>45893</v>
      </c>
      <c r="D903" s="3">
        <v>45898</v>
      </c>
      <c r="E903" t="s">
        <v>551</v>
      </c>
      <c r="F903" t="s">
        <v>162</v>
      </c>
      <c r="G903" t="s">
        <v>41</v>
      </c>
      <c r="H903" t="s">
        <v>42</v>
      </c>
      <c r="I903" t="s">
        <v>186</v>
      </c>
      <c r="J903" t="s">
        <v>187</v>
      </c>
      <c r="K903" t="s">
        <v>86</v>
      </c>
      <c r="L903" t="s">
        <v>94</v>
      </c>
      <c r="M903" t="s">
        <v>552</v>
      </c>
      <c r="N903" t="s">
        <v>56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34</v>
      </c>
      <c r="V903" t="s">
        <v>125</v>
      </c>
      <c r="W903">
        <f>IF(ISBLANK(Q903), 0, IFERROR(VALUE(Q903), 0.7))</f>
        <v>0.15</v>
      </c>
      <c r="X903">
        <f>D903 - C903</f>
        <v>5</v>
      </c>
      <c r="Y903">
        <f>O903 * P903 * (1 - W903)</f>
        <v>9445.098</v>
      </c>
      <c r="Z903">
        <f>Y903 - S903</f>
        <v>3858.8180000000002</v>
      </c>
      <c r="AA903">
        <f>IFERROR(Z903 / Y903, 0)</f>
        <v>0.40855245758170006</v>
      </c>
      <c r="AB903" t="str">
        <f>TEXT(C903, "mmmm")</f>
        <v>August</v>
      </c>
      <c r="AC903">
        <f>YEAR(C903)</f>
        <v>2025</v>
      </c>
      <c r="AD903" t="str">
        <f>IF(X903&lt;0, "Invalid: Ship Date Before Order Date", IF(W903&lt;0, "Invalid: Negative Discount", IF(W903&gt;0.5, "Invalid: Exceeds Allowed Discount", "OK")))</f>
        <v>OK</v>
      </c>
    </row>
    <row r="904" spans="1:30">
      <c r="A904" t="s">
        <v>1861</v>
      </c>
      <c r="B904" t="str">
        <f t="shared" si="14"/>
        <v>Review: Duplicate Order ID</v>
      </c>
      <c r="C904" s="3">
        <v>45760</v>
      </c>
      <c r="D904" s="3">
        <v>45760</v>
      </c>
      <c r="E904" t="s">
        <v>1863</v>
      </c>
      <c r="F904" t="s">
        <v>168</v>
      </c>
      <c r="G904" t="s">
        <v>41</v>
      </c>
      <c r="H904" t="s">
        <v>27</v>
      </c>
      <c r="I904" t="s">
        <v>174</v>
      </c>
      <c r="J904" t="s">
        <v>175</v>
      </c>
      <c r="K904" t="s">
        <v>30</v>
      </c>
      <c r="L904" t="s">
        <v>156</v>
      </c>
      <c r="M904" t="s">
        <v>1864</v>
      </c>
      <c r="N904" t="s">
        <v>33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34</v>
      </c>
      <c r="V904" t="s">
        <v>125</v>
      </c>
      <c r="W904">
        <f>IF(ISBLANK(Q904), 0, IFERROR(VALUE(Q904), 0.7))</f>
        <v>0</v>
      </c>
      <c r="X904">
        <f>D904 - C904</f>
        <v>0</v>
      </c>
      <c r="Y904">
        <f>O904 * P904 * (1 - W904)</f>
        <v>10068.120000000001</v>
      </c>
      <c r="Z904">
        <f>Y904 - S904</f>
        <v>1472.75</v>
      </c>
      <c r="AA904">
        <f>IFERROR(Z904 / Y904, 0)</f>
        <v>0.14627855051389932</v>
      </c>
      <c r="AB904" t="str">
        <f>TEXT(C904, "mmmm")</f>
        <v>April</v>
      </c>
      <c r="AC904">
        <f>YEAR(C904)</f>
        <v>2025</v>
      </c>
      <c r="AD904" t="str">
        <f>IF(X904&lt;0, "Invalid: Ship Date Before Order Date", IF(W904&lt;0, "Invalid: Negative Discount", IF(W904&gt;0.5, "Invalid: Exceeds Allowed Discount", "OK")))</f>
        <v>OK</v>
      </c>
    </row>
    <row r="905" spans="1:30">
      <c r="A905" t="s">
        <v>1189</v>
      </c>
      <c r="B905" t="str">
        <f t="shared" si="14"/>
        <v>Review: Duplicate Order ID</v>
      </c>
      <c r="C905" s="3">
        <v>45932</v>
      </c>
      <c r="D905" s="3">
        <v>45938</v>
      </c>
      <c r="E905" t="s">
        <v>1192</v>
      </c>
      <c r="F905" t="s">
        <v>53</v>
      </c>
      <c r="G905" t="s">
        <v>41</v>
      </c>
      <c r="H905" t="s">
        <v>27</v>
      </c>
      <c r="I905" t="s">
        <v>154</v>
      </c>
      <c r="J905" t="s">
        <v>155</v>
      </c>
      <c r="K905" t="s">
        <v>45</v>
      </c>
      <c r="L905" t="s">
        <v>65</v>
      </c>
      <c r="M905" t="s">
        <v>1193</v>
      </c>
      <c r="N905" t="s">
        <v>67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34</v>
      </c>
      <c r="V905" t="s">
        <v>125</v>
      </c>
      <c r="W905">
        <f>IF(ISBLANK(Q905), 0, IFERROR(VALUE(Q905), 0.7))</f>
        <v>0.25</v>
      </c>
      <c r="X905">
        <f>D905 - C905</f>
        <v>6</v>
      </c>
      <c r="Y905">
        <f>O905 * P905 * (1 - W905)</f>
        <v>11833.92</v>
      </c>
      <c r="Z905">
        <f>Y905 - S905</f>
        <v>5151</v>
      </c>
      <c r="AA905">
        <f>IFERROR(Z905 / Y905, 0)</f>
        <v>0.43527419485681834</v>
      </c>
      <c r="AB905" t="str">
        <f>TEXT(C905, "mmmm")</f>
        <v>October</v>
      </c>
      <c r="AC905">
        <f>YEAR(C905)</f>
        <v>2025</v>
      </c>
      <c r="AD905" t="str">
        <f>IF(X905&lt;0, "Invalid: Ship Date Before Order Date", IF(W905&lt;0, "Invalid: Negative Discount", IF(W905&gt;0.5, "Invalid: Exceeds Allowed Discount", "OK")))</f>
        <v>OK</v>
      </c>
    </row>
    <row r="906" spans="1:30">
      <c r="A906" t="s">
        <v>1602</v>
      </c>
      <c r="B906" t="str">
        <f t="shared" si="14"/>
        <v>Review: Duplicate Order ID</v>
      </c>
      <c r="C906" s="3">
        <v>45795</v>
      </c>
      <c r="D906" s="3">
        <v>45797</v>
      </c>
      <c r="E906" t="s">
        <v>1603</v>
      </c>
      <c r="F906" t="s">
        <v>53</v>
      </c>
      <c r="G906" t="s">
        <v>108</v>
      </c>
      <c r="H906" t="s">
        <v>73</v>
      </c>
      <c r="I906" t="s">
        <v>84</v>
      </c>
      <c r="J906" t="s">
        <v>85</v>
      </c>
      <c r="K906" t="s">
        <v>30</v>
      </c>
      <c r="L906" t="s">
        <v>109</v>
      </c>
      <c r="M906" t="s">
        <v>1604</v>
      </c>
      <c r="N906" t="s">
        <v>67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200</v>
      </c>
      <c r="V906" t="s">
        <v>35</v>
      </c>
      <c r="W906">
        <f>IF(ISBLANK(Q906), 0, IFERROR(VALUE(Q906), 0.7))</f>
        <v>0.15</v>
      </c>
      <c r="X906">
        <f>D906 - C906</f>
        <v>2</v>
      </c>
      <c r="Y906">
        <f>O906 * P906 * (1 - W906)</f>
        <v>6485.3639999999996</v>
      </c>
      <c r="Z906">
        <f>Y906 - S906</f>
        <v>1109.1939999999995</v>
      </c>
      <c r="AA906">
        <f>IFERROR(Z906 / Y906, 0)</f>
        <v>0.17103033846673826</v>
      </c>
      <c r="AB906" t="str">
        <f>TEXT(C906, "mmmm")</f>
        <v>May</v>
      </c>
      <c r="AC906">
        <f>YEAR(C906)</f>
        <v>2025</v>
      </c>
      <c r="AD906" t="str">
        <f>IF(X906&lt;0, "Invalid: Ship Date Before Order Date", IF(W906&lt;0, "Invalid: Negative Discount", IF(W906&gt;0.5, "Invalid: Exceeds Allowed Discount", "OK")))</f>
        <v>OK</v>
      </c>
    </row>
    <row r="907" spans="1:30">
      <c r="A907" t="s">
        <v>934</v>
      </c>
      <c r="B907" t="str">
        <f t="shared" si="14"/>
        <v>Review: Duplicate Order ID</v>
      </c>
      <c r="C907" s="3">
        <v>45847</v>
      </c>
      <c r="D907" s="3">
        <v>45915</v>
      </c>
      <c r="E907" t="s">
        <v>936</v>
      </c>
      <c r="F907" t="s">
        <v>180</v>
      </c>
      <c r="G907" t="s">
        <v>108</v>
      </c>
      <c r="H907" t="s">
        <v>42</v>
      </c>
      <c r="I907" t="s">
        <v>186</v>
      </c>
      <c r="J907" t="s">
        <v>187</v>
      </c>
      <c r="K907" t="s">
        <v>86</v>
      </c>
      <c r="L907" t="s">
        <v>94</v>
      </c>
      <c r="M907" t="s">
        <v>937</v>
      </c>
      <c r="N907" t="s">
        <v>67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34</v>
      </c>
      <c r="V907" t="s">
        <v>125</v>
      </c>
      <c r="W907">
        <f>IF(ISBLANK(Q907), 0, IFERROR(VALUE(Q907), 0.7))</f>
        <v>0</v>
      </c>
      <c r="X907">
        <f>D907 - C907</f>
        <v>68</v>
      </c>
      <c r="Y907">
        <f>O907 * P907 * (1 - W907)</f>
        <v>5133.96</v>
      </c>
      <c r="Z907">
        <f>Y907 - S907</f>
        <v>1203.96</v>
      </c>
      <c r="AA907">
        <f>IFERROR(Z907 / Y907, 0)</f>
        <v>0.23450903396208775</v>
      </c>
      <c r="AB907" t="str">
        <f>TEXT(C907, "mmmm")</f>
        <v>July</v>
      </c>
      <c r="AC907">
        <f>YEAR(C907)</f>
        <v>2025</v>
      </c>
      <c r="AD907" t="str">
        <f>IF(X907&lt;0, "Invalid: Ship Date Before Order Date", IF(W907&lt;0, "Invalid: Negative Discount", IF(W907&gt;0.5, "Invalid: Exceeds Allowed Discount", "OK")))</f>
        <v>OK</v>
      </c>
    </row>
    <row r="908" spans="1:30">
      <c r="A908" t="s">
        <v>2087</v>
      </c>
      <c r="B908" t="str">
        <f t="shared" si="14"/>
        <v>Review: Duplicate Order ID</v>
      </c>
      <c r="C908" s="3">
        <v>45342</v>
      </c>
      <c r="D908" s="3">
        <v>45349</v>
      </c>
      <c r="E908" t="s">
        <v>2090</v>
      </c>
      <c r="F908" t="s">
        <v>210</v>
      </c>
      <c r="G908" t="s">
        <v>26</v>
      </c>
      <c r="H908" t="s">
        <v>62</v>
      </c>
      <c r="I908" t="s">
        <v>242</v>
      </c>
      <c r="J908" t="s">
        <v>243</v>
      </c>
      <c r="K908" t="s">
        <v>86</v>
      </c>
      <c r="L908" t="s">
        <v>87</v>
      </c>
      <c r="M908" t="s">
        <v>2091</v>
      </c>
      <c r="N908" t="s">
        <v>56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34</v>
      </c>
      <c r="V908" t="s">
        <v>125</v>
      </c>
      <c r="W908">
        <f>IF(ISBLANK(Q908), 0, IFERROR(VALUE(Q908), 0.7))</f>
        <v>0.2</v>
      </c>
      <c r="X908">
        <f>D908 - C908</f>
        <v>7</v>
      </c>
      <c r="Y908">
        <f>O908 * P908 * (1 - W908)</f>
        <v>27211.032000000003</v>
      </c>
      <c r="Z908">
        <f>Y908 - S908</f>
        <v>9270.6020000000026</v>
      </c>
      <c r="AA908">
        <f>IFERROR(Z908 / Y908, 0)</f>
        <v>0.34069277490100347</v>
      </c>
      <c r="AB908" t="str">
        <f>TEXT(C908, "mmmm")</f>
        <v>February</v>
      </c>
      <c r="AC908">
        <f>YEAR(C908)</f>
        <v>2024</v>
      </c>
      <c r="AD908" t="str">
        <f>IF(X908&lt;0, "Invalid: Ship Date Before Order Date", IF(W908&lt;0, "Invalid: Negative Discount", IF(W908&gt;0.5, "Invalid: Exceeds Allowed Discount", "OK")))</f>
        <v>OK</v>
      </c>
    </row>
    <row r="909" spans="1:30">
      <c r="A909" t="s">
        <v>2739</v>
      </c>
      <c r="B909" t="str">
        <f t="shared" si="14"/>
        <v>Review: Duplicate Order ID</v>
      </c>
      <c r="C909" s="3">
        <v>45698</v>
      </c>
      <c r="D909" s="3">
        <v>45702</v>
      </c>
      <c r="E909" t="s">
        <v>2741</v>
      </c>
      <c r="F909" t="s">
        <v>142</v>
      </c>
      <c r="G909" t="s">
        <v>41</v>
      </c>
      <c r="H909" t="s">
        <v>27</v>
      </c>
      <c r="I909" t="s">
        <v>174</v>
      </c>
      <c r="J909" t="s">
        <v>175</v>
      </c>
      <c r="K909" t="s">
        <v>86</v>
      </c>
      <c r="L909" t="s">
        <v>223</v>
      </c>
      <c r="M909" t="s">
        <v>2742</v>
      </c>
      <c r="N909" t="s">
        <v>4110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200</v>
      </c>
      <c r="V909" t="s">
        <v>35</v>
      </c>
      <c r="W909">
        <f>IF(ISBLANK(Q909), 0, IFERROR(VALUE(Q909), 0.7))</f>
        <v>0</v>
      </c>
      <c r="X909">
        <f>D909 - C909</f>
        <v>4</v>
      </c>
      <c r="Y909">
        <f>O909 * P909 * (1 - W909)</f>
        <v>21381.45</v>
      </c>
      <c r="Z909">
        <f>Y909 - S909</f>
        <v>8141.2400000000016</v>
      </c>
      <c r="AA909">
        <f>IFERROR(Z909 / Y909, 0)</f>
        <v>0.38076182859441249</v>
      </c>
      <c r="AB909" t="str">
        <f>TEXT(C909, "mmmm")</f>
        <v>February</v>
      </c>
      <c r="AC909">
        <f>YEAR(C909)</f>
        <v>2025</v>
      </c>
      <c r="AD909" t="str">
        <f>IF(X909&lt;0, "Invalid: Ship Date Before Order Date", IF(W909&lt;0, "Invalid: Negative Discount", IF(W909&gt;0.5, "Invalid: Exceeds Allowed Discount", "OK")))</f>
        <v>OK</v>
      </c>
    </row>
    <row r="910" spans="1:30">
      <c r="A910" t="s">
        <v>800</v>
      </c>
      <c r="B910" t="str">
        <f t="shared" si="14"/>
        <v>Review: Duplicate Order ID</v>
      </c>
      <c r="C910" s="3">
        <v>45381</v>
      </c>
      <c r="D910" s="3">
        <v>45377</v>
      </c>
      <c r="E910" t="s">
        <v>803</v>
      </c>
      <c r="F910" t="s">
        <v>107</v>
      </c>
      <c r="G910" t="s">
        <v>115</v>
      </c>
      <c r="H910" t="s">
        <v>27</v>
      </c>
      <c r="I910" t="s">
        <v>28</v>
      </c>
      <c r="J910" t="s">
        <v>29</v>
      </c>
      <c r="K910" t="s">
        <v>86</v>
      </c>
      <c r="L910" t="s">
        <v>223</v>
      </c>
      <c r="M910" t="s">
        <v>804</v>
      </c>
      <c r="N910" t="s">
        <v>33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34</v>
      </c>
      <c r="V910" t="s">
        <v>125</v>
      </c>
      <c r="W910">
        <f>IF(ISBLANK(Q910), 0, IFERROR(VALUE(Q910), 0.7))</f>
        <v>0.15</v>
      </c>
      <c r="X910">
        <f>D910 - C910</f>
        <v>-4</v>
      </c>
      <c r="Y910">
        <f>O910 * P910 * (1 - W910)</f>
        <v>3857.0449999999996</v>
      </c>
      <c r="Z910">
        <f>Y910 - S910</f>
        <v>1087.7849999999994</v>
      </c>
      <c r="AA910">
        <f>IFERROR(Z910 / Y910, 0)</f>
        <v>0.28202548842442843</v>
      </c>
      <c r="AB910" t="str">
        <f>TEXT(C910, "mmmm")</f>
        <v>March</v>
      </c>
      <c r="AC910">
        <f>YEAR(C910)</f>
        <v>2024</v>
      </c>
      <c r="AD910" t="str">
        <f>IF(X910&lt;0, "Invalid: Ship Date Before Order Date", IF(W910&lt;0, "Invalid: Negative Discount", IF(W910&gt;0.5, "Invalid: Exceeds Allowed Discount", "OK")))</f>
        <v>Invalid: Ship Date Before Order Date</v>
      </c>
    </row>
    <row r="911" spans="1:30">
      <c r="A911" t="s">
        <v>1408</v>
      </c>
      <c r="B911" t="str">
        <f t="shared" si="14"/>
        <v>Review: Duplicate Order ID</v>
      </c>
      <c r="C911" s="3">
        <v>45522</v>
      </c>
      <c r="D911" s="3">
        <v>45528</v>
      </c>
      <c r="E911" t="s">
        <v>1411</v>
      </c>
      <c r="F911" t="s">
        <v>61</v>
      </c>
      <c r="G911" t="s">
        <v>26</v>
      </c>
      <c r="H911" t="s">
        <v>62</v>
      </c>
      <c r="I911" t="s">
        <v>100</v>
      </c>
      <c r="J911" t="s">
        <v>101</v>
      </c>
      <c r="K911" t="s">
        <v>45</v>
      </c>
      <c r="L911" t="s">
        <v>76</v>
      </c>
      <c r="M911" t="s">
        <v>1412</v>
      </c>
      <c r="N911" t="s">
        <v>56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34</v>
      </c>
      <c r="V911" t="s">
        <v>125</v>
      </c>
      <c r="W911">
        <f>IF(ISBLANK(Q911), 0, IFERROR(VALUE(Q911), 0.7))</f>
        <v>0.1</v>
      </c>
      <c r="X911">
        <f>D911 - C911</f>
        <v>6</v>
      </c>
      <c r="Y911">
        <f>O911 * P911 * (1 - W911)</f>
        <v>3510.4230000000002</v>
      </c>
      <c r="Z911">
        <f>Y911 - S911</f>
        <v>1318.9230000000002</v>
      </c>
      <c r="AA911">
        <f>IFERROR(Z911 / Y911, 0)</f>
        <v>0.37571625983535323</v>
      </c>
      <c r="AB911" t="str">
        <f>TEXT(C911, "mmmm")</f>
        <v>August</v>
      </c>
      <c r="AC911">
        <f>YEAR(C911)</f>
        <v>2024</v>
      </c>
      <c r="AD911" t="str">
        <f>IF(X911&lt;0, "Invalid: Ship Date Before Order Date", IF(W911&lt;0, "Invalid: Negative Discount", IF(W911&gt;0.5, "Invalid: Exceeds Allowed Discount", "OK")))</f>
        <v>OK</v>
      </c>
    </row>
    <row r="912" spans="1:30">
      <c r="A912" t="s">
        <v>708</v>
      </c>
      <c r="B912" t="str">
        <f t="shared" si="14"/>
        <v>Review: Duplicate Order ID</v>
      </c>
      <c r="C912" s="3">
        <v>45436</v>
      </c>
      <c r="D912" s="3">
        <v>45437</v>
      </c>
      <c r="E912" t="s">
        <v>711</v>
      </c>
      <c r="F912" t="s">
        <v>168</v>
      </c>
      <c r="G912" t="s">
        <v>41</v>
      </c>
      <c r="H912" t="s">
        <v>27</v>
      </c>
      <c r="I912" t="s">
        <v>154</v>
      </c>
      <c r="J912" t="s">
        <v>155</v>
      </c>
      <c r="K912" t="s">
        <v>86</v>
      </c>
      <c r="L912" t="s">
        <v>94</v>
      </c>
      <c r="M912" t="s">
        <v>713</v>
      </c>
      <c r="N912" t="s">
        <v>48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124</v>
      </c>
      <c r="V912" t="s">
        <v>125</v>
      </c>
      <c r="W912">
        <f>IF(ISBLANK(Q912), 0, IFERROR(VALUE(Q912), 0.7))</f>
        <v>0</v>
      </c>
      <c r="X912">
        <f>D912 - C912</f>
        <v>1</v>
      </c>
      <c r="Y912">
        <f>O912 * P912 * (1 - W912)</f>
        <v>634.13</v>
      </c>
      <c r="Z912">
        <f>Y912 - S912</f>
        <v>180.77999999999997</v>
      </c>
      <c r="AA912">
        <f>IFERROR(Z912 / Y912, 0)</f>
        <v>0.28508350022865969</v>
      </c>
      <c r="AB912" t="str">
        <f>TEXT(C912, "mmmm")</f>
        <v>May</v>
      </c>
      <c r="AC912">
        <f>YEAR(C912)</f>
        <v>2024</v>
      </c>
      <c r="AD912" t="str">
        <f>IF(X912&lt;0, "Invalid: Ship Date Before Order Date", IF(W912&lt;0, "Invalid: Negative Discount", IF(W912&gt;0.5, "Invalid: Exceeds Allowed Discount", "OK")))</f>
        <v>OK</v>
      </c>
    </row>
    <row r="913" spans="1:30">
      <c r="A913" t="s">
        <v>1697</v>
      </c>
      <c r="B913" t="str">
        <f t="shared" si="14"/>
        <v>Review: Duplicate Order ID</v>
      </c>
      <c r="C913" s="3">
        <v>45824</v>
      </c>
      <c r="D913" s="3">
        <v>45826</v>
      </c>
      <c r="E913" t="s">
        <v>1700</v>
      </c>
      <c r="F913" t="s">
        <v>148</v>
      </c>
      <c r="G913" t="s">
        <v>115</v>
      </c>
      <c r="H913" t="s">
        <v>73</v>
      </c>
      <c r="I913" t="s">
        <v>84</v>
      </c>
      <c r="J913" t="s">
        <v>85</v>
      </c>
      <c r="K913" t="s">
        <v>30</v>
      </c>
      <c r="L913" t="s">
        <v>31</v>
      </c>
      <c r="M913" t="s">
        <v>1701</v>
      </c>
      <c r="N913" t="s">
        <v>56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34</v>
      </c>
      <c r="V913" t="s">
        <v>125</v>
      </c>
      <c r="W913">
        <f>IF(ISBLANK(Q913), 0, IFERROR(VALUE(Q913), 0.7))</f>
        <v>0.1</v>
      </c>
      <c r="X913">
        <f>D913 - C913</f>
        <v>2</v>
      </c>
      <c r="Y913">
        <f>O913 * P913 * (1 - W913)</f>
        <v>11581.299000000001</v>
      </c>
      <c r="Z913">
        <f>Y913 - S913</f>
        <v>4751.8690000000006</v>
      </c>
      <c r="AA913">
        <f>IFERROR(Z913 / Y913, 0)</f>
        <v>0.41030535521101735</v>
      </c>
      <c r="AB913" t="str">
        <f>TEXT(C913, "mmmm")</f>
        <v>June</v>
      </c>
      <c r="AC913">
        <f>YEAR(C913)</f>
        <v>2025</v>
      </c>
      <c r="AD913" t="str">
        <f>IF(X913&lt;0, "Invalid: Ship Date Before Order Date", IF(W913&lt;0, "Invalid: Negative Discount", IF(W913&gt;0.5, "Invalid: Exceeds Allowed Discount", "OK")))</f>
        <v>OK</v>
      </c>
    </row>
    <row r="914" spans="1:30">
      <c r="C914"/>
    </row>
    <row r="915" spans="1:30">
      <c r="C915"/>
    </row>
    <row r="916" spans="1:30">
      <c r="C916"/>
    </row>
    <row r="917" spans="1:30">
      <c r="C917"/>
    </row>
    <row r="918" spans="1:30">
      <c r="C918"/>
    </row>
    <row r="919" spans="1:30">
      <c r="C919"/>
    </row>
    <row r="920" spans="1:30">
      <c r="C920"/>
    </row>
    <row r="921" spans="1:30">
      <c r="C921"/>
    </row>
    <row r="922" spans="1:30">
      <c r="C922"/>
    </row>
    <row r="923" spans="1:30">
      <c r="C923"/>
    </row>
    <row r="924" spans="1:30">
      <c r="C924"/>
    </row>
    <row r="925" spans="1:30">
      <c r="C925"/>
    </row>
    <row r="926" spans="1:30">
      <c r="C926"/>
    </row>
    <row r="927" spans="1:30">
      <c r="C927"/>
    </row>
    <row r="928" spans="1:30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</sheetData>
  <autoFilter ref="U1:U913" xr:uid="{F70DFE00-DDD0-4239-B449-293452ED9A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5" workbookViewId="0">
      <selection activeCell="D10" sqref="D10"/>
    </sheetView>
  </sheetViews>
  <sheetFormatPr defaultRowHeight="14"/>
  <cols>
    <col min="1" max="2" width="28" customWidth="1"/>
  </cols>
  <sheetData>
    <row r="1" spans="1:2" ht="18.649999999999999" customHeight="1">
      <c r="A1" s="1" t="s">
        <v>4088</v>
      </c>
      <c r="B1" s="1" t="s">
        <v>4089</v>
      </c>
    </row>
    <row r="2" spans="1:2" ht="42">
      <c r="A2" s="2" t="s">
        <v>4090</v>
      </c>
      <c r="B2" s="2" t="s">
        <v>4091</v>
      </c>
    </row>
    <row r="3" spans="1:2" ht="28">
      <c r="A3" s="2" t="s">
        <v>4092</v>
      </c>
      <c r="B3" s="2" t="s">
        <v>4093</v>
      </c>
    </row>
    <row r="4" spans="1:2" ht="28">
      <c r="A4" s="2" t="s">
        <v>4094</v>
      </c>
      <c r="B4" s="2" t="s">
        <v>4093</v>
      </c>
    </row>
    <row r="5" spans="1:2" ht="28">
      <c r="A5" s="2" t="s">
        <v>4095</v>
      </c>
      <c r="B5" s="2" t="s">
        <v>4096</v>
      </c>
    </row>
    <row r="6" spans="1:2" ht="42">
      <c r="A6" s="2" t="s">
        <v>4097</v>
      </c>
      <c r="B6" s="2" t="s">
        <v>4098</v>
      </c>
    </row>
    <row r="7" spans="1:2" ht="56">
      <c r="A7" s="2" t="s">
        <v>4099</v>
      </c>
      <c r="B7" s="2" t="s">
        <v>4100</v>
      </c>
    </row>
    <row r="8" spans="1:2" ht="28">
      <c r="A8" s="2" t="s">
        <v>4101</v>
      </c>
      <c r="B8" s="2" t="s">
        <v>4102</v>
      </c>
    </row>
    <row r="9" spans="1:2" ht="42">
      <c r="A9" s="2" t="s">
        <v>4103</v>
      </c>
      <c r="B9" s="2" t="s">
        <v>4104</v>
      </c>
    </row>
    <row r="10" spans="1:2" ht="70">
      <c r="A10" s="2" t="s">
        <v>4105</v>
      </c>
      <c r="B10" s="2" t="s">
        <v>4106</v>
      </c>
    </row>
    <row r="11" spans="1:2" ht="28">
      <c r="A11" s="2" t="s">
        <v>4107</v>
      </c>
      <c r="B11" s="2" t="s">
        <v>4108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65876B-F036-45FF-AD96-BC132E142B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Kanojia</cp:lastModifiedBy>
  <dcterms:created xsi:type="dcterms:W3CDTF">2026-06-26T08:11:00Z</dcterms:created>
  <dcterms:modified xsi:type="dcterms:W3CDTF">2026-06-27T08:57:50Z</dcterms:modified>
</cp:coreProperties>
</file>